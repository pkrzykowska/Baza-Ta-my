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zesz\Downloads\"/>
    </mc:Choice>
  </mc:AlternateContent>
  <xr:revisionPtr revIDLastSave="0" documentId="13_ncr:1_{14D4359B-95E4-4BC9-ADF8-395D0F653A05}" xr6:coauthVersionLast="47" xr6:coauthVersionMax="47" xr10:uidLastSave="{00000000-0000-0000-0000-000000000000}"/>
  <bookViews>
    <workbookView xWindow="-120" yWindow="-120" windowWidth="29040" windowHeight="17520" xr2:uid="{1BD99BB5-9E88-431F-A3E3-3E456F6B906A}"/>
  </bookViews>
  <sheets>
    <sheet name="Sheet1" sheetId="1" r:id="rId1"/>
  </sheets>
  <definedNames>
    <definedName name="_xlnm._FilterDatabase" localSheetId="0" hidden="1">Sheet1!$B$1:$O$465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T56" i="1"/>
  <c r="T58" i="1"/>
  <c r="T59" i="1"/>
  <c r="T60" i="1"/>
  <c r="T61" i="1"/>
  <c r="T62" i="1"/>
  <c r="T63" i="1"/>
  <c r="T64" i="1"/>
  <c r="T65" i="1"/>
  <c r="T66" i="1"/>
  <c r="T57" i="1"/>
  <c r="T130" i="1"/>
  <c r="T132" i="1"/>
  <c r="T133" i="1"/>
  <c r="T134" i="1"/>
  <c r="T135" i="1"/>
  <c r="T136" i="1"/>
  <c r="T137" i="1"/>
  <c r="T138" i="1"/>
  <c r="T131" i="1"/>
  <c r="T446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47" i="1"/>
  <c r="T433" i="1"/>
  <c r="T435" i="1"/>
  <c r="T436" i="1"/>
  <c r="T437" i="1"/>
  <c r="T438" i="1"/>
  <c r="T439" i="1"/>
  <c r="T440" i="1"/>
  <c r="T441" i="1"/>
  <c r="T442" i="1"/>
  <c r="T443" i="1"/>
  <c r="T444" i="1"/>
  <c r="T445" i="1"/>
  <c r="T434" i="1"/>
  <c r="T426" i="1"/>
  <c r="T428" i="1"/>
  <c r="T429" i="1"/>
  <c r="T430" i="1"/>
  <c r="T431" i="1"/>
  <c r="T432" i="1"/>
  <c r="T427" i="1"/>
  <c r="T414" i="1"/>
  <c r="T416" i="1"/>
  <c r="T417" i="1"/>
  <c r="T418" i="1"/>
  <c r="T419" i="1"/>
  <c r="T420" i="1"/>
  <c r="T421" i="1"/>
  <c r="T422" i="1"/>
  <c r="T423" i="1"/>
  <c r="T424" i="1"/>
  <c r="T425" i="1"/>
  <c r="T415" i="1"/>
  <c r="T402" i="1"/>
  <c r="T404" i="1"/>
  <c r="T405" i="1"/>
  <c r="T406" i="1"/>
  <c r="T407" i="1"/>
  <c r="T408" i="1"/>
  <c r="T409" i="1"/>
  <c r="T410" i="1"/>
  <c r="T411" i="1"/>
  <c r="T412" i="1"/>
  <c r="T413" i="1"/>
  <c r="T403" i="1"/>
  <c r="T387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388" i="1"/>
  <c r="T364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65" i="1"/>
  <c r="T341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42" i="1"/>
  <c r="T326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27" i="1"/>
  <c r="T308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09" i="1"/>
  <c r="T295" i="1"/>
  <c r="T297" i="1"/>
  <c r="T298" i="1"/>
  <c r="T299" i="1"/>
  <c r="T300" i="1"/>
  <c r="T301" i="1"/>
  <c r="T302" i="1"/>
  <c r="T303" i="1"/>
  <c r="T304" i="1"/>
  <c r="T305" i="1"/>
  <c r="T306" i="1"/>
  <c r="T307" i="1"/>
  <c r="T296" i="1"/>
  <c r="T281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82" i="1"/>
  <c r="T270" i="1"/>
  <c r="T280" i="1"/>
  <c r="T272" i="1"/>
  <c r="T273" i="1"/>
  <c r="T274" i="1"/>
  <c r="T275" i="1"/>
  <c r="T276" i="1"/>
  <c r="T277" i="1"/>
  <c r="T278" i="1"/>
  <c r="T279" i="1"/>
  <c r="T271" i="1"/>
  <c r="T256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57" i="1"/>
  <c r="T241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42" i="1"/>
  <c r="T226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27" i="1"/>
  <c r="T209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10" i="1"/>
  <c r="T205" i="1"/>
  <c r="T207" i="1"/>
  <c r="T208" i="1"/>
  <c r="T206" i="1"/>
  <c r="T182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183" i="1"/>
  <c r="T169" i="1"/>
  <c r="T171" i="1"/>
  <c r="T172" i="1"/>
  <c r="T173" i="1"/>
  <c r="T174" i="1"/>
  <c r="T175" i="1"/>
  <c r="T176" i="1"/>
  <c r="T177" i="1"/>
  <c r="T178" i="1"/>
  <c r="T179" i="1"/>
  <c r="T180" i="1"/>
  <c r="T181" i="1"/>
  <c r="T170" i="1"/>
  <c r="T157" i="1"/>
  <c r="T159" i="1"/>
  <c r="T160" i="1"/>
  <c r="T161" i="1"/>
  <c r="T162" i="1"/>
  <c r="T163" i="1"/>
  <c r="T164" i="1"/>
  <c r="T165" i="1"/>
  <c r="T166" i="1"/>
  <c r="T167" i="1"/>
  <c r="T168" i="1"/>
  <c r="T158" i="1"/>
  <c r="T146" i="1"/>
  <c r="T148" i="1"/>
  <c r="T149" i="1"/>
  <c r="T150" i="1"/>
  <c r="T151" i="1"/>
  <c r="T152" i="1"/>
  <c r="T153" i="1"/>
  <c r="T154" i="1"/>
  <c r="T155" i="1"/>
  <c r="T156" i="1"/>
  <c r="T147" i="1"/>
  <c r="T143" i="1"/>
  <c r="T145" i="1"/>
  <c r="T144" i="1"/>
  <c r="T141" i="1"/>
  <c r="T142" i="1"/>
  <c r="T140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11" i="1"/>
  <c r="T101" i="1"/>
  <c r="T102" i="1"/>
  <c r="T103" i="1"/>
  <c r="T104" i="1"/>
  <c r="T105" i="1"/>
  <c r="T106" i="1"/>
  <c r="T107" i="1"/>
  <c r="T108" i="1"/>
  <c r="T109" i="1"/>
  <c r="T100" i="1"/>
  <c r="T96" i="1"/>
  <c r="T97" i="1"/>
  <c r="T98" i="1"/>
  <c r="T95" i="1"/>
  <c r="T84" i="1"/>
  <c r="T85" i="1"/>
  <c r="T86" i="1"/>
  <c r="T87" i="1"/>
  <c r="T88" i="1"/>
  <c r="T89" i="1"/>
  <c r="T90" i="1"/>
  <c r="T91" i="1"/>
  <c r="T92" i="1"/>
  <c r="T93" i="1"/>
  <c r="T83" i="1"/>
  <c r="T81" i="1"/>
  <c r="T80" i="1"/>
  <c r="T69" i="1"/>
  <c r="T70" i="1"/>
  <c r="T71" i="1"/>
  <c r="T72" i="1"/>
  <c r="T73" i="1"/>
  <c r="T74" i="1"/>
  <c r="T75" i="1"/>
  <c r="T76" i="1"/>
  <c r="T77" i="1"/>
  <c r="T78" i="1"/>
  <c r="T68" i="1"/>
  <c r="T45" i="1"/>
  <c r="T46" i="1"/>
  <c r="T47" i="1"/>
  <c r="T48" i="1"/>
  <c r="T49" i="1"/>
  <c r="T50" i="1"/>
  <c r="T51" i="1"/>
  <c r="T52" i="1"/>
  <c r="T53" i="1"/>
  <c r="T54" i="1"/>
  <c r="T55" i="1"/>
  <c r="T44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29" i="1"/>
  <c r="T20" i="1"/>
  <c r="T21" i="1"/>
  <c r="T22" i="1"/>
  <c r="T23" i="1"/>
  <c r="T24" i="1"/>
  <c r="T25" i="1"/>
  <c r="T26" i="1"/>
  <c r="T27" i="1"/>
  <c r="T19" i="1"/>
  <c r="N428" i="1"/>
  <c r="O428" i="1" s="1"/>
  <c r="N429" i="1"/>
  <c r="O429" i="1" s="1"/>
  <c r="N430" i="1"/>
  <c r="O430" i="1" s="1"/>
  <c r="N431" i="1"/>
  <c r="O431" i="1" s="1"/>
  <c r="N432" i="1"/>
  <c r="O432" i="1" s="1"/>
  <c r="N427" i="1"/>
  <c r="O427" i="1" s="1"/>
  <c r="N426" i="1"/>
  <c r="O426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2" i="1"/>
  <c r="O2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43" i="1"/>
  <c r="O43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19" i="1"/>
  <c r="O19" i="1" s="1"/>
  <c r="N18" i="1"/>
  <c r="O18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70" i="1"/>
  <c r="O170" i="1" s="1"/>
  <c r="N169" i="1"/>
  <c r="O169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11" i="1"/>
  <c r="O111" i="1" s="1"/>
  <c r="N110" i="1"/>
  <c r="O110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02" i="1"/>
  <c r="O40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42" i="1"/>
  <c r="O342" i="1" s="1"/>
  <c r="N341" i="1"/>
  <c r="O341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09" i="1"/>
  <c r="O309" i="1" s="1"/>
  <c r="N308" i="1"/>
  <c r="O308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27" i="1"/>
  <c r="O227" i="1" s="1"/>
  <c r="N226" i="1"/>
  <c r="O226" i="1" s="1"/>
  <c r="N140" i="1"/>
  <c r="O140" i="1" s="1"/>
  <c r="N141" i="1"/>
  <c r="O141" i="1" s="1"/>
  <c r="N142" i="1"/>
  <c r="O142" i="1" s="1"/>
  <c r="N139" i="1"/>
  <c r="O139" i="1" s="1"/>
  <c r="N81" i="1"/>
  <c r="O81" i="1" s="1"/>
  <c r="N80" i="1"/>
  <c r="O80" i="1" s="1"/>
  <c r="N79" i="1"/>
  <c r="O79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10" i="1"/>
  <c r="O210" i="1" s="1"/>
  <c r="N209" i="1"/>
  <c r="O209" i="1" s="1"/>
  <c r="N207" i="1"/>
  <c r="O207" i="1" s="1"/>
  <c r="N208" i="1"/>
  <c r="O208" i="1" s="1"/>
  <c r="N206" i="1"/>
  <c r="O206" i="1" s="1"/>
  <c r="N205" i="1"/>
  <c r="O205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183" i="1"/>
  <c r="O183" i="1" s="1"/>
  <c r="N182" i="1"/>
  <c r="O182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388" i="1"/>
  <c r="O388" i="1" s="1"/>
  <c r="N387" i="1"/>
  <c r="O38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27" i="1"/>
  <c r="O327" i="1" s="1"/>
  <c r="N326" i="1"/>
  <c r="O326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295" i="1"/>
  <c r="O295" i="1" s="1"/>
  <c r="N281" i="1"/>
  <c r="O281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82" i="1"/>
  <c r="O282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71" i="1"/>
  <c r="O271" i="1" s="1"/>
  <c r="N270" i="1"/>
  <c r="O270" i="1" s="1"/>
  <c r="N144" i="1"/>
  <c r="O144" i="1" s="1"/>
  <c r="N145" i="1"/>
  <c r="O145" i="1" s="1"/>
  <c r="N143" i="1"/>
  <c r="O143" i="1" s="1"/>
  <c r="N95" i="1"/>
  <c r="O95" i="1" s="1"/>
  <c r="N96" i="1"/>
  <c r="O96" i="1" s="1"/>
  <c r="N97" i="1"/>
  <c r="O97" i="1" s="1"/>
  <c r="N98" i="1"/>
  <c r="O98" i="1" s="1"/>
  <c r="N94" i="1"/>
  <c r="O94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58" i="1"/>
  <c r="O158" i="1" s="1"/>
  <c r="N157" i="1"/>
  <c r="O157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15" i="1"/>
  <c r="O415" i="1" s="1"/>
  <c r="N414" i="1"/>
  <c r="O414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65" i="1"/>
  <c r="O365" i="1" s="1"/>
  <c r="N364" i="1"/>
  <c r="O364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42" i="1"/>
  <c r="O242" i="1" s="1"/>
  <c r="N241" i="1"/>
  <c r="O24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1" i="1"/>
  <c r="O131" i="1" s="1"/>
  <c r="N130" i="1"/>
  <c r="O130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57" i="1"/>
  <c r="O57" i="1" s="1"/>
  <c r="N56" i="1"/>
  <c r="O56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47" i="1"/>
  <c r="O147" i="1" s="1"/>
  <c r="N146" i="1"/>
  <c r="O146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83" i="1"/>
  <c r="O83" i="1" s="1"/>
  <c r="N82" i="1"/>
  <c r="O82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68" i="1"/>
  <c r="O68" i="1" s="1"/>
  <c r="N67" i="1"/>
  <c r="O67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29" i="1"/>
  <c r="O29" i="1" s="1"/>
  <c r="N28" i="1"/>
  <c r="O28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99" i="1"/>
  <c r="O99" i="1" s="1"/>
</calcChain>
</file>

<file path=xl/sharedStrings.xml><?xml version="1.0" encoding="utf-8"?>
<sst xmlns="http://schemas.openxmlformats.org/spreadsheetml/2006/main" count="2910" uniqueCount="943">
  <si>
    <t>1446/19/STO/</t>
  </si>
  <si>
    <t>1447/19/STO/</t>
  </si>
  <si>
    <t>1441/13/STO/</t>
  </si>
  <si>
    <t>1836/14/STO/A</t>
  </si>
  <si>
    <t>8094/15/STO/</t>
  </si>
  <si>
    <t>8065/15/STO/</t>
  </si>
  <si>
    <t>6075/17/STO/</t>
  </si>
  <si>
    <t>1647/17/STO/</t>
  </si>
  <si>
    <t>1999/18/STO/</t>
  </si>
  <si>
    <t>1044/18/STO/</t>
  </si>
  <si>
    <t>6765/16/STO/</t>
  </si>
  <si>
    <t>N</t>
  </si>
  <si>
    <t>G-46</t>
  </si>
  <si>
    <t>1305/18/STO/</t>
  </si>
  <si>
    <t>1133/18/STO/</t>
  </si>
  <si>
    <t>1508/14/STO/</t>
  </si>
  <si>
    <t>1421/16/STO/</t>
  </si>
  <si>
    <t>138/14/CON/</t>
  </si>
  <si>
    <t>1621/16/STO/B</t>
  </si>
  <si>
    <t>129/14/CON/</t>
  </si>
  <si>
    <t>6338/08/STO/A</t>
  </si>
  <si>
    <t>1726/02/STO/B</t>
  </si>
  <si>
    <t>1206/07/STO/B2</t>
  </si>
  <si>
    <t>6366/08/STO/B</t>
  </si>
  <si>
    <t>1509/04/STO/</t>
  </si>
  <si>
    <t>6365/08/STO/</t>
  </si>
  <si>
    <t>1206/07/STO/</t>
  </si>
  <si>
    <t>1206/07/STO/B</t>
  </si>
  <si>
    <t>R2</t>
  </si>
  <si>
    <t>G-24/1</t>
  </si>
  <si>
    <t>134/14/CON/</t>
  </si>
  <si>
    <t>139/14/CON/</t>
  </si>
  <si>
    <t>1838/14/STO/</t>
  </si>
  <si>
    <t>1837/14/STO/</t>
  </si>
  <si>
    <t>133/14/CON/</t>
  </si>
  <si>
    <t>1423/16/STO/A</t>
  </si>
  <si>
    <t>1490/16/STO/A</t>
  </si>
  <si>
    <t>1696/17/STO/</t>
  </si>
  <si>
    <t>1667/17/STO/</t>
  </si>
  <si>
    <t>8171/16/STO/</t>
  </si>
  <si>
    <t>1690/14/STO/A</t>
  </si>
  <si>
    <t>1428/16/STO/A</t>
  </si>
  <si>
    <t>R1</t>
  </si>
  <si>
    <t>1626/16/STO/</t>
  </si>
  <si>
    <t>1624/16/STO/</t>
  </si>
  <si>
    <t>1889/17/STO/</t>
  </si>
  <si>
    <t>1905/17/STO/B</t>
  </si>
  <si>
    <t>020/18/CON/A</t>
  </si>
  <si>
    <t>1447/16/STO/</t>
  </si>
  <si>
    <t>1897/17/STO/</t>
  </si>
  <si>
    <t>1888/17/STO/</t>
  </si>
  <si>
    <t>1492/16/STO/</t>
  </si>
  <si>
    <t>1622/16/STO/</t>
  </si>
  <si>
    <t>1623/16/STO/</t>
  </si>
  <si>
    <t>1501/16/STO/</t>
  </si>
  <si>
    <t>G-45/1</t>
  </si>
  <si>
    <t>1310/18/STO/</t>
  </si>
  <si>
    <t>1198/18/STO/</t>
  </si>
  <si>
    <t>1130/18/STO/</t>
  </si>
  <si>
    <t>1001/18/STO/</t>
  </si>
  <si>
    <t>142/14/CON/</t>
  </si>
  <si>
    <t>142/14/CON/C</t>
  </si>
  <si>
    <t>6638/19/STE/</t>
  </si>
  <si>
    <t>6637/19/STE/</t>
  </si>
  <si>
    <t>1449/19/STO/</t>
  </si>
  <si>
    <t>6639/19/STE/</t>
  </si>
  <si>
    <t>1851/17/STO/</t>
  </si>
  <si>
    <t>G-201</t>
  </si>
  <si>
    <t>1842/17/STO/</t>
  </si>
  <si>
    <t>1882/17/STO/</t>
  </si>
  <si>
    <t>6763/16/STO/</t>
  </si>
  <si>
    <t>6764/16/STO/</t>
  </si>
  <si>
    <t>1048/18/STO/</t>
  </si>
  <si>
    <t>1092/18/STO/</t>
  </si>
  <si>
    <t>1122/18/STO/</t>
  </si>
  <si>
    <t>1127/18/STO/</t>
  </si>
  <si>
    <t>8171/16/STO/A1</t>
  </si>
  <si>
    <t>1881/17/STO/</t>
  </si>
  <si>
    <t>1649/17/STO/</t>
  </si>
  <si>
    <t>G-401</t>
  </si>
  <si>
    <t>016/18/CON/</t>
  </si>
  <si>
    <t>021/18/CON/</t>
  </si>
  <si>
    <t>013/18/CON/</t>
  </si>
  <si>
    <t>017/18/CON/</t>
  </si>
  <si>
    <t>015/18/CON/</t>
  </si>
  <si>
    <t>014/18/CON/</t>
  </si>
  <si>
    <t>018/18/CON/</t>
  </si>
  <si>
    <t>019/18/CON/</t>
  </si>
  <si>
    <t>1043/18/STO/</t>
  </si>
  <si>
    <t>T-14</t>
  </si>
  <si>
    <t>6686/19/STE/</t>
  </si>
  <si>
    <t>1365/13/STO/</t>
  </si>
  <si>
    <t>1368/13/STO/</t>
  </si>
  <si>
    <t>1370/13/STO/</t>
  </si>
  <si>
    <t>1304/13/STO/</t>
  </si>
  <si>
    <t>1309/13/STO/</t>
  </si>
  <si>
    <t>1303/13/STO/</t>
  </si>
  <si>
    <t>1307/13/STO/</t>
  </si>
  <si>
    <t>1306/13/STO/</t>
  </si>
  <si>
    <t>1364/13/STO/A</t>
  </si>
  <si>
    <t>1366/13/STO/</t>
  </si>
  <si>
    <t>1308/13/STO/</t>
  </si>
  <si>
    <t>1367/13/STO/</t>
  </si>
  <si>
    <t>1364/13/STO/</t>
  </si>
  <si>
    <t>6687/19/STE/</t>
  </si>
  <si>
    <t>T-15</t>
  </si>
  <si>
    <t>1369/13/STO/</t>
  </si>
  <si>
    <t>1232/13/STO/</t>
  </si>
  <si>
    <t>1288/13/STO/</t>
  </si>
  <si>
    <t>1285/13/STO/</t>
  </si>
  <si>
    <t>1629/16/STO/B</t>
  </si>
  <si>
    <t>1100/12/STO/A1</t>
  </si>
  <si>
    <t>1285/13/STO/B</t>
  </si>
  <si>
    <t>1285/13/STO/B2</t>
  </si>
  <si>
    <t>1383/13/STO/</t>
  </si>
  <si>
    <t>1283/13/STO/</t>
  </si>
  <si>
    <t>1259/13/STO/</t>
  </si>
  <si>
    <t>1286/13/STO/</t>
  </si>
  <si>
    <t>1281/13/STO/A</t>
  </si>
  <si>
    <t>1276/13/STO/</t>
  </si>
  <si>
    <t>Z-03</t>
  </si>
  <si>
    <t>1992/98/STO/</t>
  </si>
  <si>
    <t>1991/98/STO/</t>
  </si>
  <si>
    <t>1003/98/STO/</t>
  </si>
  <si>
    <t>158/84/STO/A</t>
  </si>
  <si>
    <t>232/81/STO/A</t>
  </si>
  <si>
    <t>111/82/STO/B1A</t>
  </si>
  <si>
    <t>187/84/STO/A</t>
  </si>
  <si>
    <t>95/82/STO/A</t>
  </si>
  <si>
    <t>1465/01/STO/A</t>
  </si>
  <si>
    <t>1285/85/STO/B</t>
  </si>
  <si>
    <t>15/00/CON/</t>
  </si>
  <si>
    <t>3164/85/STO/B</t>
  </si>
  <si>
    <t>3161/85/STO/</t>
  </si>
  <si>
    <t>81/82-STO/D</t>
  </si>
  <si>
    <t>2269/85/STO/</t>
  </si>
  <si>
    <t>3191/85/STO/A</t>
  </si>
  <si>
    <t>1911/90/STO/</t>
  </si>
  <si>
    <t>1990/98/STO/</t>
  </si>
  <si>
    <t>1002/98/STO/</t>
  </si>
  <si>
    <t>1993/98/STO/</t>
  </si>
  <si>
    <t>1004/98/STO/</t>
  </si>
  <si>
    <t>87/83/STO/</t>
  </si>
  <si>
    <t>1005/98/STO/</t>
  </si>
  <si>
    <t>ZW-301</t>
  </si>
  <si>
    <t>1675/17/STO/</t>
  </si>
  <si>
    <t>6665/14/STO/</t>
  </si>
  <si>
    <t>1865/14/STO/</t>
  </si>
  <si>
    <t>1678/17/STO/</t>
  </si>
  <si>
    <t>1121/18/STO/</t>
  </si>
  <si>
    <t>1214/18/STO/</t>
  </si>
  <si>
    <t>1215/18/STO/</t>
  </si>
  <si>
    <t>1210/18/STO/</t>
  </si>
  <si>
    <t>6512/16/STO/</t>
  </si>
  <si>
    <t>1209/18/STO/</t>
  </si>
  <si>
    <t>1212/18/STO/</t>
  </si>
  <si>
    <t>1674/17/STO/</t>
  </si>
  <si>
    <t>G-34/1</t>
  </si>
  <si>
    <t>6453/22/STE/</t>
  </si>
  <si>
    <t>8057/15/STO/</t>
  </si>
  <si>
    <t>6584/19/STO/</t>
  </si>
  <si>
    <t>1997/18/STO/</t>
  </si>
  <si>
    <t>1279/13/STO/A</t>
  </si>
  <si>
    <t>1279/13/STO/B</t>
  </si>
  <si>
    <t>6726/19/STE/C</t>
  </si>
  <si>
    <t>6725/19/STE/</t>
  </si>
  <si>
    <t>6837/20/STE/</t>
  </si>
  <si>
    <t>6814/20/STE/</t>
  </si>
  <si>
    <t>8764/21/STE/</t>
  </si>
  <si>
    <t>6451/22/STE/</t>
  </si>
  <si>
    <t>6578/19/STO/</t>
  </si>
  <si>
    <t>6579/19/STO/</t>
  </si>
  <si>
    <t>1455/19/STO/</t>
  </si>
  <si>
    <t>1621/16/STO/</t>
  </si>
  <si>
    <t>6577/19/STO/</t>
  </si>
  <si>
    <t>G-33/1</t>
  </si>
  <si>
    <t>G-44/3</t>
  </si>
  <si>
    <t>6693/19/STE/</t>
  </si>
  <si>
    <t>6692/19/STE/</t>
  </si>
  <si>
    <t>6689/19/STE/A</t>
  </si>
  <si>
    <t>T-21</t>
  </si>
  <si>
    <t>1223/15/STO/A</t>
  </si>
  <si>
    <t>1445/16/STO/</t>
  </si>
  <si>
    <t>1446/16/STO/</t>
  </si>
  <si>
    <t>1502/16/STO/</t>
  </si>
  <si>
    <t>1491/16/STO/</t>
  </si>
  <si>
    <t>1500/16/STO/</t>
  </si>
  <si>
    <t>1195/15/STO/</t>
  </si>
  <si>
    <t>1194/15/STO/</t>
  </si>
  <si>
    <t>1197/15/STO/</t>
  </si>
  <si>
    <t>1196/15/STO/</t>
  </si>
  <si>
    <t>128/14/CON/A</t>
  </si>
  <si>
    <t>T-22</t>
  </si>
  <si>
    <t>1184/15/STO/</t>
  </si>
  <si>
    <t>1181/15/STO/</t>
  </si>
  <si>
    <t>8072/15/STO/</t>
  </si>
  <si>
    <t>1186/15/STO/</t>
  </si>
  <si>
    <t>8074/15/STO/</t>
  </si>
  <si>
    <t>8071/15/STO/</t>
  </si>
  <si>
    <t>1189/15/STO/</t>
  </si>
  <si>
    <t>8076/15/STO/</t>
  </si>
  <si>
    <t>1182/15/STO/</t>
  </si>
  <si>
    <t>1190/15/STO/</t>
  </si>
  <si>
    <t>1183/15/STO/</t>
  </si>
  <si>
    <t>1185/15/STO/</t>
  </si>
  <si>
    <t>8075/15/STO/</t>
  </si>
  <si>
    <t>140/14/CON/</t>
  </si>
  <si>
    <t>T-23</t>
  </si>
  <si>
    <t>1432/16/STO/</t>
  </si>
  <si>
    <t>1441/16/STO/</t>
  </si>
  <si>
    <t>1440/16/STO/</t>
  </si>
  <si>
    <t>1435/16/STO/</t>
  </si>
  <si>
    <t>1434/16/STO/</t>
  </si>
  <si>
    <t>1433/16/STO/</t>
  </si>
  <si>
    <t>1447/16/STO/A</t>
  </si>
  <si>
    <t>1444/16/STO/</t>
  </si>
  <si>
    <t>1443/16/STO/</t>
  </si>
  <si>
    <t>1442/16/STO/</t>
  </si>
  <si>
    <t>1438/16/STO/</t>
  </si>
  <si>
    <t>1437/16/STO/</t>
  </si>
  <si>
    <t>1431/16/STO/</t>
  </si>
  <si>
    <t>T-32</t>
  </si>
  <si>
    <t>1964/09/STO/</t>
  </si>
  <si>
    <t>1961/09/STO/</t>
  </si>
  <si>
    <t>1960/09/STO/</t>
  </si>
  <si>
    <t>1956/09/STO/</t>
  </si>
  <si>
    <t>6052/09/STO/</t>
  </si>
  <si>
    <t>6057/09/STO/</t>
  </si>
  <si>
    <t>3976/09/STO/</t>
  </si>
  <si>
    <t>3722/06/STO/C</t>
  </si>
  <si>
    <t>1957/09/STO/</t>
  </si>
  <si>
    <t>1963/09/STO/</t>
  </si>
  <si>
    <t>6054/09/STO/</t>
  </si>
  <si>
    <t>3973/09/STO/</t>
  </si>
  <si>
    <t>1965/09/STO/</t>
  </si>
  <si>
    <t>1962/09/STO/</t>
  </si>
  <si>
    <t>1948/09/STO/</t>
  </si>
  <si>
    <t>Z-20/1</t>
  </si>
  <si>
    <t>132/14/CON/</t>
  </si>
  <si>
    <t>6345/13/STO/</t>
  </si>
  <si>
    <t>1103/12/STO/</t>
  </si>
  <si>
    <t>8067/15/STO/A</t>
  </si>
  <si>
    <t>6077/17/STO/</t>
  </si>
  <si>
    <t>1625/16/STO/</t>
  </si>
  <si>
    <t>1620/16/STO/</t>
  </si>
  <si>
    <t>6918/14/STO/</t>
  </si>
  <si>
    <t>1296/03/STO/</t>
  </si>
  <si>
    <t>6581/09/STO/</t>
  </si>
  <si>
    <t>1588/08/STO/</t>
  </si>
  <si>
    <t>1596/04/STO/A</t>
  </si>
  <si>
    <t>1510/14/STO/</t>
  </si>
  <si>
    <t>1237/15/STO/</t>
  </si>
  <si>
    <t>130/14/CON/</t>
  </si>
  <si>
    <t>G-53/1</t>
  </si>
  <si>
    <t>6090/09/STO/</t>
  </si>
  <si>
    <t>3384/16/MAT/</t>
  </si>
  <si>
    <t>1027/07/STO/</t>
  </si>
  <si>
    <t>1993/09/STO/</t>
  </si>
  <si>
    <t>6081/09/STO/A</t>
  </si>
  <si>
    <t>1739/06/STO/</t>
  </si>
  <si>
    <t>3728/06/STO/A</t>
  </si>
  <si>
    <t>6084/09/STO/A</t>
  </si>
  <si>
    <t>1200/07/STO/</t>
  </si>
  <si>
    <t>1739/06/STO/A</t>
  </si>
  <si>
    <t>2852/99/STO/A</t>
  </si>
  <si>
    <t>2106/15/MAT/</t>
  </si>
  <si>
    <t>3727/06/STO/A1</t>
  </si>
  <si>
    <t>2984/17/STO/A</t>
  </si>
  <si>
    <t>3388/16/MAT/A</t>
  </si>
  <si>
    <t>8216/15/MAT/</t>
  </si>
  <si>
    <t>1998/09/STO/</t>
  </si>
  <si>
    <t>6212/15/MAT/</t>
  </si>
  <si>
    <t>1454/15/MAT/</t>
  </si>
  <si>
    <t>3958/07/STO/A</t>
  </si>
  <si>
    <t>1385/00/STO/</t>
  </si>
  <si>
    <t>36/04/WOL/B</t>
  </si>
  <si>
    <t>G-61</t>
  </si>
  <si>
    <t>6094/09/STO/</t>
  </si>
  <si>
    <t>2149/09/STO/</t>
  </si>
  <si>
    <t>2957/14/STO/</t>
  </si>
  <si>
    <t>2141/09/STO/</t>
  </si>
  <si>
    <t>G-63/1</t>
  </si>
  <si>
    <t>1458/01/STO/A</t>
  </si>
  <si>
    <t>1393/00/STO/A</t>
  </si>
  <si>
    <t>3011/17/STO/</t>
  </si>
  <si>
    <t>6412/15/MAT/A</t>
  </si>
  <si>
    <t>3384/16/MAT/A</t>
  </si>
  <si>
    <t>3253/16/STO/</t>
  </si>
  <si>
    <t>3957/07/STO/</t>
  </si>
  <si>
    <t>3098/17/STO/</t>
  </si>
  <si>
    <t>3100/17/STO/</t>
  </si>
  <si>
    <t>1751/17/STO/</t>
  </si>
  <si>
    <t>3097/17/STO/A1</t>
  </si>
  <si>
    <t>2100/15/MAT/B</t>
  </si>
  <si>
    <t>6211/15/MAT/</t>
  </si>
  <si>
    <t>8209/15/MAT/</t>
  </si>
  <si>
    <t>1955/09/STO/</t>
  </si>
  <si>
    <t>3955/07/STO/</t>
  </si>
  <si>
    <t>G-32/1</t>
  </si>
  <si>
    <t>1996/18/STO/</t>
  </si>
  <si>
    <t>1900/17/STO/</t>
  </si>
  <si>
    <t>1125/18/STO/</t>
  </si>
  <si>
    <t>G-41</t>
  </si>
  <si>
    <t>1287/18/STO/</t>
  </si>
  <si>
    <t>1629/16/STO</t>
  </si>
  <si>
    <t>1286/18/STO/</t>
  </si>
  <si>
    <t>1306/18/STO/</t>
  </si>
  <si>
    <t>T-12</t>
  </si>
  <si>
    <t>1277/13/STO/</t>
  </si>
  <si>
    <t>1278/13/STO/</t>
  </si>
  <si>
    <t>1265/13/STO/</t>
  </si>
  <si>
    <t>1275/13/STO/</t>
  </si>
  <si>
    <t>1261/13/STO/</t>
  </si>
  <si>
    <t>1258/13/STO/</t>
  </si>
  <si>
    <t>1257/13/STO/</t>
  </si>
  <si>
    <t>1264/13/STO/</t>
  </si>
  <si>
    <t>1256/13/STO/</t>
  </si>
  <si>
    <t>1260/13/STO/</t>
  </si>
  <si>
    <t>1234/13/STO/</t>
  </si>
  <si>
    <t>1228/13/STO/</t>
  </si>
  <si>
    <t>1263/13/STO/</t>
  </si>
  <si>
    <t>T-24</t>
  </si>
  <si>
    <t>1188/15/STO/</t>
  </si>
  <si>
    <t>8105/15/STO/</t>
  </si>
  <si>
    <t>8067/15/STO/B</t>
  </si>
  <si>
    <t>8106/15/STO/</t>
  </si>
  <si>
    <t>8106/15/STO/B</t>
  </si>
  <si>
    <t>1193/15/STO/</t>
  </si>
  <si>
    <t>1198/15/STO/</t>
  </si>
  <si>
    <t>1192/15/STO/</t>
  </si>
  <si>
    <t>1191/15/STO/</t>
  </si>
  <si>
    <t>8104/15/STO/</t>
  </si>
  <si>
    <t>1225/15/STO/</t>
  </si>
  <si>
    <t>1224/15/STO/</t>
  </si>
  <si>
    <t>1379/13/STO/</t>
  </si>
  <si>
    <t>1379/13/STO/C</t>
  </si>
  <si>
    <t>6690/19/STE/</t>
  </si>
  <si>
    <t>6688/19/STE/</t>
  </si>
  <si>
    <t>1187/15/STO/</t>
  </si>
  <si>
    <t>W-43</t>
  </si>
  <si>
    <t>1248/13/STO/</t>
  </si>
  <si>
    <t>1245/13/STO/</t>
  </si>
  <si>
    <t>1244/13/STO/</t>
  </si>
  <si>
    <t>1246/13/STO/</t>
  </si>
  <si>
    <t>1241/13/STO/</t>
  </si>
  <si>
    <t>1242/13/STO/</t>
  </si>
  <si>
    <t>1239/13/STO/</t>
  </si>
  <si>
    <t>3227/13/STO/</t>
  </si>
  <si>
    <t>3225/13/STO/</t>
  </si>
  <si>
    <t>1225/13/STO/B</t>
  </si>
  <si>
    <t>1238/13/STO/</t>
  </si>
  <si>
    <t>2300/13/STO/A</t>
  </si>
  <si>
    <t>1247/13/STO/</t>
  </si>
  <si>
    <t>2310/13/STO/A</t>
  </si>
  <si>
    <t>2296/13/STO/</t>
  </si>
  <si>
    <t>2296/13/STO/B</t>
  </si>
  <si>
    <t>3224/13/STO/</t>
  </si>
  <si>
    <t>3226/13/STO/</t>
  </si>
  <si>
    <t>3228/13/STO/</t>
  </si>
  <si>
    <t>3229/13/STO/</t>
  </si>
  <si>
    <t>3230/13/STO/</t>
  </si>
  <si>
    <t>1236/13/STO/</t>
  </si>
  <si>
    <t>ZW-201</t>
  </si>
  <si>
    <t>1698/17/STO/</t>
  </si>
  <si>
    <t>1693/17/STO/</t>
  </si>
  <si>
    <t>1694/17/STO/</t>
  </si>
  <si>
    <t>1692/17/STO/</t>
  </si>
  <si>
    <t>6621/11/STO/</t>
  </si>
  <si>
    <t>1508/14/STO/B</t>
  </si>
  <si>
    <t>6076/07/STO/</t>
  </si>
  <si>
    <t>6456/06/STO/</t>
  </si>
  <si>
    <t>8058/15/STO/</t>
  </si>
  <si>
    <t>1676/14/STO/</t>
  </si>
  <si>
    <t>6786/17/STO/</t>
  </si>
  <si>
    <t>1323/16/STO/</t>
  </si>
  <si>
    <t>36/04/WOL/</t>
  </si>
  <si>
    <t>G-36</t>
  </si>
  <si>
    <t>1211/18/STO/</t>
  </si>
  <si>
    <t>1132/18/STO/</t>
  </si>
  <si>
    <t>1998/18/STO/</t>
  </si>
  <si>
    <t>1345/00/STO/A</t>
  </si>
  <si>
    <t>1874/07/STO/C</t>
  </si>
  <si>
    <t>1687/14/STO/</t>
  </si>
  <si>
    <t>6651/07/STO/</t>
  </si>
  <si>
    <t>6338/08/STO/</t>
  </si>
  <si>
    <t>6361/08/STO/</t>
  </si>
  <si>
    <t>6564/10/STO/A</t>
  </si>
  <si>
    <t>1871/07/STO/A</t>
  </si>
  <si>
    <t>1849/12/STO/A</t>
  </si>
  <si>
    <t>1412/16/STO/</t>
  </si>
  <si>
    <t>1411/16/STO/</t>
  </si>
  <si>
    <t>1415/16/STO/</t>
  </si>
  <si>
    <t>1414/16/STO/</t>
  </si>
  <si>
    <t>1196/18/STO/A</t>
  </si>
  <si>
    <t>1002/18/STO/</t>
  </si>
  <si>
    <t>G-501</t>
  </si>
  <si>
    <t>2368/86/STO/</t>
  </si>
  <si>
    <t>1750/06/STO/</t>
  </si>
  <si>
    <t>3722/06/STO/A</t>
  </si>
  <si>
    <t>1119/99/STO/</t>
  </si>
  <si>
    <t>1739/06/STO/A1</t>
  </si>
  <si>
    <t>1996/09/STO/</t>
  </si>
  <si>
    <t>1996/09/STO/B</t>
  </si>
  <si>
    <t>1532/14/STO/</t>
  </si>
  <si>
    <t>6086/09/STO/</t>
  </si>
  <si>
    <t>3520/14/STO/</t>
  </si>
  <si>
    <t>3522/14/STO/</t>
  </si>
  <si>
    <t>2812/14/STO/</t>
  </si>
  <si>
    <t>1115/99/STO/</t>
  </si>
  <si>
    <t>G-13/1</t>
  </si>
  <si>
    <t>179/18/CON/</t>
  </si>
  <si>
    <t>181/18/CON/</t>
  </si>
  <si>
    <t>185/18/CON/</t>
  </si>
  <si>
    <t>186/18/CON/A</t>
  </si>
  <si>
    <t>178/18/CON/</t>
  </si>
  <si>
    <t>177/18/CON/</t>
  </si>
  <si>
    <t>176/18/CON/</t>
  </si>
  <si>
    <t>182/18/CON/</t>
  </si>
  <si>
    <t>180/18/CON/</t>
  </si>
  <si>
    <t>175/18/CON/</t>
  </si>
  <si>
    <t>G-16</t>
  </si>
  <si>
    <t>1671/17/STO/</t>
  </si>
  <si>
    <t>6516/16/STO/</t>
  </si>
  <si>
    <t>1308/18/STO/</t>
  </si>
  <si>
    <t>1489/08/STO/A</t>
  </si>
  <si>
    <t>6536/08/STO/</t>
  </si>
  <si>
    <t>6546/16/STO/</t>
  </si>
  <si>
    <t>6784/17/STO/</t>
  </si>
  <si>
    <t>1879/17/STO/</t>
  </si>
  <si>
    <t>1669/17/STO/</t>
  </si>
  <si>
    <t>1129/18/STO/</t>
  </si>
  <si>
    <t>1089/18/STO/</t>
  </si>
  <si>
    <t>G-101</t>
  </si>
  <si>
    <t>1302/18/STO/B2</t>
  </si>
  <si>
    <t>1201/18/STO/</t>
  </si>
  <si>
    <t>1124/18/STO/</t>
  </si>
  <si>
    <t>183/18/CON/</t>
  </si>
  <si>
    <t>183/18/CON/B</t>
  </si>
  <si>
    <t>184/18/CON/</t>
  </si>
  <si>
    <t>1200/18/STO/A</t>
  </si>
  <si>
    <t>1281/18/STO/</t>
  </si>
  <si>
    <t>1203/18/STO/</t>
  </si>
  <si>
    <t>1202/18/STO/</t>
  </si>
  <si>
    <t>1278/18/STO/</t>
  </si>
  <si>
    <t>1282/18/STO/</t>
  </si>
  <si>
    <t>1280/18/STO/</t>
  </si>
  <si>
    <t>1279/18/STO/</t>
  </si>
  <si>
    <t>1302/18/STO/</t>
  </si>
  <si>
    <t>006/18/CON/A1</t>
  </si>
  <si>
    <t>G-14/1</t>
  </si>
  <si>
    <t>conveyor</t>
  </si>
  <si>
    <t>transported_material</t>
  </si>
  <si>
    <t>belt_width</t>
  </si>
  <si>
    <t>section_name</t>
  </si>
  <si>
    <t>section_length</t>
  </si>
  <si>
    <t>belt_state</t>
  </si>
  <si>
    <t>conv_instalation</t>
  </si>
  <si>
    <t>predicted_lifetime</t>
  </si>
  <si>
    <t>lifetime</t>
  </si>
  <si>
    <t>belt_status_info_printed</t>
  </si>
  <si>
    <t>lifetime_conveyor</t>
  </si>
  <si>
    <t>overburden</t>
  </si>
  <si>
    <t>hard coal</t>
  </si>
  <si>
    <t>mine</t>
  </si>
  <si>
    <t>loop_length</t>
  </si>
  <si>
    <t>velocity</t>
  </si>
  <si>
    <t>no_segments</t>
  </si>
  <si>
    <t>Belchatow</t>
  </si>
  <si>
    <t>G-22/1</t>
  </si>
  <si>
    <t>6401/08/STO/</t>
  </si>
  <si>
    <t>6401/08/STO/B</t>
  </si>
  <si>
    <t>6197/08/STO/</t>
  </si>
  <si>
    <t>1488/16/STO/</t>
  </si>
  <si>
    <t>6129/07/STO/</t>
  </si>
  <si>
    <t>6398/08/STO/</t>
  </si>
  <si>
    <t>1776/11/STO/</t>
  </si>
  <si>
    <t>G-32A</t>
  </si>
  <si>
    <t>Bogdanka</t>
  </si>
  <si>
    <t>brown coal</t>
  </si>
  <si>
    <t>brown coal - overburden</t>
  </si>
  <si>
    <t>strength</t>
  </si>
  <si>
    <t>-</t>
  </si>
  <si>
    <t>Lhoist</t>
  </si>
  <si>
    <t>204Hb53</t>
  </si>
  <si>
    <t>limestone</t>
  </si>
  <si>
    <t>207-01</t>
  </si>
  <si>
    <t>splice_before</t>
  </si>
  <si>
    <t>splice_after</t>
  </si>
  <si>
    <t>cord_diameter</t>
  </si>
  <si>
    <t>top_cover</t>
  </si>
  <si>
    <t>bottom_cover</t>
  </si>
  <si>
    <t>first_installation_date</t>
  </si>
  <si>
    <t>473/18/G</t>
  </si>
  <si>
    <t>470/18/G</t>
  </si>
  <si>
    <t>476/18/G</t>
  </si>
  <si>
    <t>475/18/G</t>
  </si>
  <si>
    <t>229/20/G</t>
  </si>
  <si>
    <t>479/18/G</t>
  </si>
  <si>
    <t>472/18/G</t>
  </si>
  <si>
    <t>469/18/G</t>
  </si>
  <si>
    <t>516/18/G</t>
  </si>
  <si>
    <t>468/18/G</t>
  </si>
  <si>
    <t>120/19/G</t>
  </si>
  <si>
    <t>190/22/G</t>
  </si>
  <si>
    <t>125/19/G</t>
  </si>
  <si>
    <t>171/17/G</t>
  </si>
  <si>
    <t>231/20/G</t>
  </si>
  <si>
    <t>236/20/G</t>
  </si>
  <si>
    <t>228/20/G</t>
  </si>
  <si>
    <t>194/22/G</t>
  </si>
  <si>
    <t>103/22/G</t>
  </si>
  <si>
    <t>104/22/G</t>
  </si>
  <si>
    <t>66/22/G</t>
  </si>
  <si>
    <t>105/22/G</t>
  </si>
  <si>
    <t>465/21/G</t>
  </si>
  <si>
    <t>459/21/G</t>
  </si>
  <si>
    <t>107/22/G</t>
  </si>
  <si>
    <t>351/22/G</t>
  </si>
  <si>
    <t>349/22/G</t>
  </si>
  <si>
    <t>337/21/G</t>
  </si>
  <si>
    <t>50/23/G</t>
  </si>
  <si>
    <t>52/23/G</t>
  </si>
  <si>
    <t>27/22/G</t>
  </si>
  <si>
    <t>189/22/G</t>
  </si>
  <si>
    <t>193/22/G</t>
  </si>
  <si>
    <t>235/20/G</t>
  </si>
  <si>
    <t>199/20/G</t>
  </si>
  <si>
    <t>194/20/G</t>
  </si>
  <si>
    <t>317/20/G</t>
  </si>
  <si>
    <t>475/20/G</t>
  </si>
  <si>
    <t>318/20/G</t>
  </si>
  <si>
    <t>322/20/G</t>
  </si>
  <si>
    <t>264/20/G</t>
  </si>
  <si>
    <t>262/20/G</t>
  </si>
  <si>
    <t>258/20/G</t>
  </si>
  <si>
    <t>271/20/G</t>
  </si>
  <si>
    <t>134/17/G</t>
  </si>
  <si>
    <t>238/17/G</t>
  </si>
  <si>
    <t>87/18/G</t>
  </si>
  <si>
    <t>164/19/G</t>
  </si>
  <si>
    <t>659/17/G</t>
  </si>
  <si>
    <t>660/17/G</t>
  </si>
  <si>
    <t>490/20/G</t>
  </si>
  <si>
    <t>493/20/G</t>
  </si>
  <si>
    <t>425/19/G</t>
  </si>
  <si>
    <t>432/20/G</t>
  </si>
  <si>
    <t>430/20/G</t>
  </si>
  <si>
    <t>561/20/G</t>
  </si>
  <si>
    <t>35/21/G</t>
  </si>
  <si>
    <t>36/21/G</t>
  </si>
  <si>
    <t>211/18/G</t>
  </si>
  <si>
    <t>39/21/G</t>
  </si>
  <si>
    <t>568/20/G</t>
  </si>
  <si>
    <t>451/20/G</t>
  </si>
  <si>
    <t>413/20/G</t>
  </si>
  <si>
    <t>427/20/G</t>
  </si>
  <si>
    <t>429/20/G</t>
  </si>
  <si>
    <t>314/19/G</t>
  </si>
  <si>
    <t>315/19/G</t>
  </si>
  <si>
    <t>329/19/G</t>
  </si>
  <si>
    <t>324/19/G</t>
  </si>
  <si>
    <t>327/19/G</t>
  </si>
  <si>
    <t>316/19/G</t>
  </si>
  <si>
    <t>328/19/G</t>
  </si>
  <si>
    <t>343/20/G</t>
  </si>
  <si>
    <t>68/16/G</t>
  </si>
  <si>
    <t>48/16/G</t>
  </si>
  <si>
    <t>91/20/G</t>
  </si>
  <si>
    <t>358/20/G</t>
  </si>
  <si>
    <t>363/20/G</t>
  </si>
  <si>
    <t>365/20/G</t>
  </si>
  <si>
    <t>287/18/G</t>
  </si>
  <si>
    <t>289/18/G</t>
  </si>
  <si>
    <t>318/19/G</t>
  </si>
  <si>
    <t>211/21/G</t>
  </si>
  <si>
    <t>367/21/G</t>
  </si>
  <si>
    <t>274/23/G</t>
  </si>
  <si>
    <t>532/19/G</t>
  </si>
  <si>
    <t>278/23/G</t>
  </si>
  <si>
    <t>134/21/G</t>
  </si>
  <si>
    <t>44/23/G</t>
  </si>
  <si>
    <t>163/23/G</t>
  </si>
  <si>
    <t>192/21/G</t>
  </si>
  <si>
    <t>167/23/G</t>
  </si>
  <si>
    <t>355/22/G</t>
  </si>
  <si>
    <t>211/22/G</t>
  </si>
  <si>
    <t>210/22/G</t>
  </si>
  <si>
    <t>356/22/G</t>
  </si>
  <si>
    <t>110/22/G</t>
  </si>
  <si>
    <t>111/22/G</t>
  </si>
  <si>
    <t>113/22/G</t>
  </si>
  <si>
    <t>115/22/G</t>
  </si>
  <si>
    <t>147/22/G</t>
  </si>
  <si>
    <t>270/19/G</t>
  </si>
  <si>
    <t>440/20/G</t>
  </si>
  <si>
    <t>265/19/G</t>
  </si>
  <si>
    <t>264/19/G</t>
  </si>
  <si>
    <t>452/20/G</t>
  </si>
  <si>
    <t>455/20/G</t>
  </si>
  <si>
    <t>458/20/G</t>
  </si>
  <si>
    <t>269/19/G</t>
  </si>
  <si>
    <t>17/19/G</t>
  </si>
  <si>
    <t>391/18/G</t>
  </si>
  <si>
    <t>338/20/G</t>
  </si>
  <si>
    <t>61/23/G</t>
  </si>
  <si>
    <t>484/20/G</t>
  </si>
  <si>
    <t>447/19/G</t>
  </si>
  <si>
    <t>612/19/G</t>
  </si>
  <si>
    <t>148/20/G</t>
  </si>
  <si>
    <t>151/20/G</t>
  </si>
  <si>
    <t>266/19/G</t>
  </si>
  <si>
    <t>120/23/G</t>
  </si>
  <si>
    <t>309/22/G</t>
  </si>
  <si>
    <t>12/22/G</t>
  </si>
  <si>
    <t>389/22/G</t>
  </si>
  <si>
    <t>674/13/G</t>
  </si>
  <si>
    <t>391/22/G</t>
  </si>
  <si>
    <t>482/20/G</t>
  </si>
  <si>
    <t>116/22/G</t>
  </si>
  <si>
    <t>118/22/G</t>
  </si>
  <si>
    <t>217/22/G</t>
  </si>
  <si>
    <t>14/23/G</t>
  </si>
  <si>
    <t>117/23/G</t>
  </si>
  <si>
    <t>565/20/G</t>
  </si>
  <si>
    <t>290/19G</t>
  </si>
  <si>
    <t>483/18/G</t>
  </si>
  <si>
    <t>281/20/G</t>
  </si>
  <si>
    <t>253/20/G</t>
  </si>
  <si>
    <t>283/20/G</t>
  </si>
  <si>
    <t>559/19/G</t>
  </si>
  <si>
    <t>70/21/G</t>
  </si>
  <si>
    <t>579/20/G</t>
  </si>
  <si>
    <t>72/21/G</t>
  </si>
  <si>
    <t>556/19/G</t>
  </si>
  <si>
    <t>282/19/G</t>
  </si>
  <si>
    <t>294/19/G</t>
  </si>
  <si>
    <t>572/18/G</t>
  </si>
  <si>
    <t>293/19/G</t>
  </si>
  <si>
    <t>409/19/G</t>
  </si>
  <si>
    <t>408/19/G</t>
  </si>
  <si>
    <t>715/17/G</t>
  </si>
  <si>
    <t>380/18/G</t>
  </si>
  <si>
    <t>168/19/G</t>
  </si>
  <si>
    <t>93/20/G</t>
  </si>
  <si>
    <t>563/20/G</t>
  </si>
  <si>
    <t>X</t>
  </si>
  <si>
    <t>265/13/G</t>
  </si>
  <si>
    <t>624/17/G</t>
  </si>
  <si>
    <t>626/17/G</t>
  </si>
  <si>
    <t>292/13/G</t>
  </si>
  <si>
    <t>307/20/G</t>
  </si>
  <si>
    <t>182/20/G</t>
  </si>
  <si>
    <t>27/21/G</t>
  </si>
  <si>
    <t>580/20/G</t>
  </si>
  <si>
    <t>26/21/G</t>
  </si>
  <si>
    <t>278/20/G</t>
  </si>
  <si>
    <t>493/19/G</t>
  </si>
  <si>
    <t>491/19/G</t>
  </si>
  <si>
    <t>496/19/G</t>
  </si>
  <si>
    <t>150/21/G</t>
  </si>
  <si>
    <t>41/21/G</t>
  </si>
  <si>
    <t>38/21/G</t>
  </si>
  <si>
    <t>151/21/G</t>
  </si>
  <si>
    <t>601/17/G</t>
  </si>
  <si>
    <t>415/20/G</t>
  </si>
  <si>
    <t>417/20/G</t>
  </si>
  <si>
    <t>279/20/G</t>
  </si>
  <si>
    <t>1385/00/STO/A</t>
  </si>
  <si>
    <t>129/19/G</t>
  </si>
  <si>
    <t>126/19/G</t>
  </si>
  <si>
    <t>123/19/G</t>
  </si>
  <si>
    <t>252/19/G</t>
  </si>
  <si>
    <t>121/19/G</t>
  </si>
  <si>
    <t>137/19/G</t>
  </si>
  <si>
    <t>135/19/G</t>
  </si>
  <si>
    <t>113/19/G</t>
  </si>
  <si>
    <t>111/19/G</t>
  </si>
  <si>
    <t>128/19/G</t>
  </si>
  <si>
    <t>114/19/G</t>
  </si>
  <si>
    <t>115/19/G</t>
  </si>
  <si>
    <t>119/19/G</t>
  </si>
  <si>
    <t>193/20/G</t>
  </si>
  <si>
    <t>254/19/G</t>
  </si>
  <si>
    <t>253/19/G</t>
  </si>
  <si>
    <t>651/17/G</t>
  </si>
  <si>
    <t>418/20/G</t>
  </si>
  <si>
    <t>419/20/G</t>
  </si>
  <si>
    <t>421/20/G</t>
  </si>
  <si>
    <t>383/18/G</t>
  </si>
  <si>
    <t>419/18/G</t>
  </si>
  <si>
    <t>405/18/G</t>
  </si>
  <si>
    <t>464/18/G</t>
  </si>
  <si>
    <t>165/19/G</t>
  </si>
  <si>
    <t>654/17/G</t>
  </si>
  <si>
    <t>652/17/G</t>
  </si>
  <si>
    <t>262/18/G</t>
  </si>
  <si>
    <t>292/18/G</t>
  </si>
  <si>
    <t>A258/18/G</t>
  </si>
  <si>
    <t>258/18/G</t>
  </si>
  <si>
    <t>255/18/G</t>
  </si>
  <si>
    <t>456/20/G</t>
  </si>
  <si>
    <t>257/18/G</t>
  </si>
  <si>
    <t>254/18/G</t>
  </si>
  <si>
    <t>327/18/G</t>
  </si>
  <si>
    <t>326/118/G</t>
  </si>
  <si>
    <t>576/18/G</t>
  </si>
  <si>
    <t>575/18/G</t>
  </si>
  <si>
    <t>581/18/G</t>
  </si>
  <si>
    <t>564/20/G</t>
  </si>
  <si>
    <t>558/20/G</t>
  </si>
  <si>
    <t>323/21/G</t>
  </si>
  <si>
    <t>567/20/G</t>
  </si>
  <si>
    <t>583/14/G</t>
  </si>
  <si>
    <t>578/14/G</t>
  </si>
  <si>
    <t>579/14/G</t>
  </si>
  <si>
    <t>597/14/G</t>
  </si>
  <si>
    <t>322/21/G</t>
  </si>
  <si>
    <t>324/21/G</t>
  </si>
  <si>
    <t>508/13/G</t>
  </si>
  <si>
    <t>436/13/G</t>
  </si>
  <si>
    <t>424/13/G</t>
  </si>
  <si>
    <t>715/14/G</t>
  </si>
  <si>
    <t>123/20/G</t>
  </si>
  <si>
    <t>377/13/G</t>
  </si>
  <si>
    <t>378/13/G</t>
  </si>
  <si>
    <t>600/13/G</t>
  </si>
  <si>
    <t>379/13/G</t>
  </si>
  <si>
    <t>376/13/G</t>
  </si>
  <si>
    <t>395/13/G</t>
  </si>
  <si>
    <t>442/13/G</t>
  </si>
  <si>
    <t>126/20/G</t>
  </si>
  <si>
    <t>728/13/G</t>
  </si>
  <si>
    <t>124/20/G</t>
  </si>
  <si>
    <t>55/20/G</t>
  </si>
  <si>
    <t>687/13/G</t>
  </si>
  <si>
    <t>692/13/G</t>
  </si>
  <si>
    <t>579/13/G</t>
  </si>
  <si>
    <t>557/13/G</t>
  </si>
  <si>
    <t>555/13/G</t>
  </si>
  <si>
    <t>558/13/G</t>
  </si>
  <si>
    <t>578/13/G</t>
  </si>
  <si>
    <t>186/22/G</t>
  </si>
  <si>
    <t>183/22/G</t>
  </si>
  <si>
    <t>641/13/G</t>
  </si>
  <si>
    <t>690/13/G</t>
  </si>
  <si>
    <t>615/13/G</t>
  </si>
  <si>
    <t>60/20/G</t>
  </si>
  <si>
    <t>49/20/G</t>
  </si>
  <si>
    <t>672/13/G</t>
  </si>
  <si>
    <t>664/13/G</t>
  </si>
  <si>
    <t>614/13/G</t>
  </si>
  <si>
    <t>170/22/G</t>
  </si>
  <si>
    <t>169/22/G</t>
  </si>
  <si>
    <t>129/17/G</t>
  </si>
  <si>
    <t>130/17/G</t>
  </si>
  <si>
    <t>629/13/G</t>
  </si>
  <si>
    <t>634/13/G</t>
  </si>
  <si>
    <t>646/13/G</t>
  </si>
  <si>
    <t>651/13/G</t>
  </si>
  <si>
    <t>640/13/G</t>
  </si>
  <si>
    <t>710/13/G</t>
  </si>
  <si>
    <t>683/13/G</t>
  </si>
  <si>
    <t>A668/16/G</t>
  </si>
  <si>
    <t>666/16/G</t>
  </si>
  <si>
    <t>664/16/G</t>
  </si>
  <si>
    <t>662/16/G</t>
  </si>
  <si>
    <t>660/16/G</t>
  </si>
  <si>
    <t>677/16/G</t>
  </si>
  <si>
    <t>589/15/G</t>
  </si>
  <si>
    <t>592/15/G</t>
  </si>
  <si>
    <t>597/15/G</t>
  </si>
  <si>
    <t>673/16/G</t>
  </si>
  <si>
    <t>659/16/G</t>
  </si>
  <si>
    <t>613/15/G</t>
  </si>
  <si>
    <t>550/15/G</t>
  </si>
  <si>
    <t>536/15/G</t>
  </si>
  <si>
    <t>567/15/G</t>
  </si>
  <si>
    <t>154/20/G</t>
  </si>
  <si>
    <t>574/15/G</t>
  </si>
  <si>
    <t>586/15/G</t>
  </si>
  <si>
    <t>616/15/G</t>
  </si>
  <si>
    <t>575/15/G</t>
  </si>
  <si>
    <t>571/15/G</t>
  </si>
  <si>
    <t>614/15/G</t>
  </si>
  <si>
    <t>573/15/G</t>
  </si>
  <si>
    <t>158/20/G</t>
  </si>
  <si>
    <t>155/20/G</t>
  </si>
  <si>
    <t>625/16/G</t>
  </si>
  <si>
    <t>547/16/G</t>
  </si>
  <si>
    <t>550/16/G</t>
  </si>
  <si>
    <t>552/16/G</t>
  </si>
  <si>
    <t>554/16/G</t>
  </si>
  <si>
    <t>528/16/G</t>
  </si>
  <si>
    <t>560/16/G</t>
  </si>
  <si>
    <t>566/16/G</t>
  </si>
  <si>
    <t>569/16/G</t>
  </si>
  <si>
    <t>626/16/G</t>
  </si>
  <si>
    <t>553/16/G</t>
  </si>
  <si>
    <t>549/16/G</t>
  </si>
  <si>
    <t>546/16/G</t>
  </si>
  <si>
    <t>664/15/G</t>
  </si>
  <si>
    <t>647/15/G</t>
  </si>
  <si>
    <t>30/20/G</t>
  </si>
  <si>
    <t>31/20/G</t>
  </si>
  <si>
    <t>156/20/G</t>
  </si>
  <si>
    <t>622/15/G</t>
  </si>
  <si>
    <t>662/15/G</t>
  </si>
  <si>
    <t>620/15/G</t>
  </si>
  <si>
    <t>626/15/G</t>
  </si>
  <si>
    <t>380/20/G</t>
  </si>
  <si>
    <t>648/15/G</t>
  </si>
  <si>
    <t>656/15/G</t>
  </si>
  <si>
    <t>114/18/G</t>
  </si>
  <si>
    <t>20/20/G</t>
  </si>
  <si>
    <t>21/20/G</t>
  </si>
  <si>
    <t>24/20/G</t>
  </si>
  <si>
    <t>623/15/G</t>
  </si>
  <si>
    <t>363/10/G</t>
  </si>
  <si>
    <t>334/10/G</t>
  </si>
  <si>
    <t>356/10/G</t>
  </si>
  <si>
    <t>332/10/G</t>
  </si>
  <si>
    <t>341/10/G</t>
  </si>
  <si>
    <t>343/10/G</t>
  </si>
  <si>
    <t>697/10/G</t>
  </si>
  <si>
    <t>704/10/G</t>
  </si>
  <si>
    <t>380/10/G</t>
  </si>
  <si>
    <t>391/10/G</t>
  </si>
  <si>
    <t>351/10/G</t>
  </si>
  <si>
    <t>355/10/G</t>
  </si>
  <si>
    <t>425/10/G</t>
  </si>
  <si>
    <t>385/10/G</t>
  </si>
  <si>
    <t>379/10/G</t>
  </si>
  <si>
    <t>330/13/G</t>
  </si>
  <si>
    <t>340/13/G</t>
  </si>
  <si>
    <t>343/13/G</t>
  </si>
  <si>
    <t>349/13/G</t>
  </si>
  <si>
    <t>353/13/G</t>
  </si>
  <si>
    <t>657/14/G</t>
  </si>
  <si>
    <t>371/13/G</t>
  </si>
  <si>
    <t>396/13/G</t>
  </si>
  <si>
    <t>377/17/G</t>
  </si>
  <si>
    <t>376/17/G</t>
  </si>
  <si>
    <t>393/13/G</t>
  </si>
  <si>
    <t>524/13/G</t>
  </si>
  <si>
    <t>439/13/G</t>
  </si>
  <si>
    <t>647/14/G</t>
  </si>
  <si>
    <t>659/14/G</t>
  </si>
  <si>
    <t>378/17/G</t>
  </si>
  <si>
    <t>417/13/G</t>
  </si>
  <si>
    <t>392/13/G</t>
  </si>
  <si>
    <t>387/13/G</t>
  </si>
  <si>
    <t>380/13/G</t>
  </si>
  <si>
    <t>372/13/G</t>
  </si>
  <si>
    <t>368/13/G</t>
  </si>
  <si>
    <t>522/13/G</t>
  </si>
  <si>
    <t>209/05/Z</t>
  </si>
  <si>
    <t>207/05/Z</t>
  </si>
  <si>
    <t>226/05/Z</t>
  </si>
  <si>
    <t>132/06/Z</t>
  </si>
  <si>
    <t>134/06/Z</t>
  </si>
  <si>
    <t>53/03/G</t>
  </si>
  <si>
    <t>64/87/W</t>
  </si>
  <si>
    <t>163/03/G</t>
  </si>
  <si>
    <t>179/03/G</t>
  </si>
  <si>
    <t>131/06/Z</t>
  </si>
  <si>
    <t>192/86/Z</t>
  </si>
  <si>
    <t>132/85/Z</t>
  </si>
  <si>
    <t>128/03/Z</t>
  </si>
  <si>
    <t>127/06/Z</t>
  </si>
  <si>
    <t>126/06/Z</t>
  </si>
  <si>
    <t>125/06/Z</t>
  </si>
  <si>
    <t>214/05/Z</t>
  </si>
  <si>
    <t>206/05/Z</t>
  </si>
  <si>
    <t>208/05/Z</t>
  </si>
  <si>
    <t>210/05/Z</t>
  </si>
  <si>
    <t>212/05/Z</t>
  </si>
  <si>
    <t>213/05/Z</t>
  </si>
  <si>
    <t>211/05/Z</t>
  </si>
  <si>
    <t>219/20/G</t>
  </si>
  <si>
    <t>232/20/G</t>
  </si>
  <si>
    <t>285/20/G</t>
  </si>
  <si>
    <t>352/19/G</t>
  </si>
  <si>
    <t>353/19/G</t>
  </si>
  <si>
    <t>346/19/G</t>
  </si>
  <si>
    <t>290/20/G</t>
  </si>
  <si>
    <t>286/20/G</t>
  </si>
  <si>
    <t>203/20/G</t>
  </si>
  <si>
    <t>206/20/G</t>
  </si>
  <si>
    <t>140/21/G</t>
  </si>
  <si>
    <t>14/22/G</t>
  </si>
  <si>
    <t>7/22/G</t>
  </si>
  <si>
    <t>214/20/G</t>
  </si>
  <si>
    <t>216/20/G</t>
  </si>
  <si>
    <t>474/17/G</t>
  </si>
  <si>
    <t>478/17/G</t>
  </si>
  <si>
    <t>479/17/G</t>
  </si>
  <si>
    <t>272/19/G</t>
  </si>
  <si>
    <t>412/19/G</t>
  </si>
  <si>
    <t>414/19/G</t>
  </si>
  <si>
    <t>500/18/G</t>
  </si>
  <si>
    <t>505/18/G</t>
  </si>
  <si>
    <t>37/20/G</t>
  </si>
  <si>
    <t>38/20/G</t>
  </si>
  <si>
    <t>73/19/G</t>
  </si>
  <si>
    <t>68/19/G</t>
  </si>
  <si>
    <t>162/19/G</t>
  </si>
  <si>
    <t>472/21/G</t>
  </si>
  <si>
    <t>63/20/G</t>
  </si>
  <si>
    <t>62/20/G</t>
  </si>
  <si>
    <t>20/19/G</t>
  </si>
  <si>
    <t>642/18/G</t>
  </si>
  <si>
    <t>635/18/G</t>
  </si>
  <si>
    <t>469/21/G</t>
  </si>
  <si>
    <t>477/21/G</t>
  </si>
  <si>
    <t>643/18/G</t>
  </si>
  <si>
    <t>60/19/G</t>
  </si>
  <si>
    <t>58/19/G</t>
  </si>
  <si>
    <t>192/22/G</t>
  </si>
  <si>
    <t>396/20/G</t>
  </si>
  <si>
    <t>235/21/G</t>
  </si>
  <si>
    <t>284/23/G</t>
  </si>
  <si>
    <t>383/22/G</t>
  </si>
  <si>
    <t>398/20/G</t>
  </si>
  <si>
    <t>397/20/G</t>
  </si>
  <si>
    <t>XIII</t>
  </si>
  <si>
    <t>II</t>
  </si>
  <si>
    <t>IV</t>
  </si>
  <si>
    <t>VI</t>
  </si>
  <si>
    <t>VIII</t>
  </si>
  <si>
    <t>XII</t>
  </si>
  <si>
    <t>XI</t>
  </si>
  <si>
    <t>III</t>
  </si>
  <si>
    <t>V</t>
  </si>
  <si>
    <t>VII</t>
  </si>
  <si>
    <t>IX</t>
  </si>
  <si>
    <t>XIV</t>
  </si>
  <si>
    <t>XV</t>
  </si>
  <si>
    <t>XVI</t>
  </si>
  <si>
    <t>XVII</t>
  </si>
  <si>
    <t>XVIII</t>
  </si>
  <si>
    <t>XIX</t>
  </si>
  <si>
    <t>XX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</si>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</sst>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E8D3-DE82-428E-96FD-0AC67B5C9977}">
  <dimension ref="A1:V465"/>
  <sheetViews>
    <sheetView tabSelected="1" topLeftCell="B1" zoomScale="115" zoomScaleNormal="115" workbookViewId="0">
      <pane ySplit="1" topLeftCell="A2" activePane="bottomLeft" state="frozen"/>
      <selection pane="bottomLeft" activeCell="R13" sqref="R13"/>
    </sheetView>
  </sheetViews>
  <sheetFormatPr defaultRowHeight="15" x14ac:dyDescent="0.25"/>
  <cols>
    <col min="4" max="6" width="9.140625" hidden="1" customWidth="1"/>
    <col min="7" max="7" width="17" customWidth="1"/>
    <col min="8" max="9" width="9.140625" customWidth="1"/>
    <col min="10" max="10" width="11.140625" customWidth="1"/>
    <col min="11" max="12" width="9.140625" customWidth="1"/>
    <col min="13" max="13" width="11.140625" customWidth="1"/>
    <col min="14" max="14" width="9.140625" customWidth="1"/>
    <col min="15" max="16" width="11.140625" customWidth="1"/>
    <col min="17" max="18" width="11.140625" style="3" customWidth="1"/>
  </cols>
  <sheetData>
    <row r="1" spans="1:22" x14ac:dyDescent="0.25">
      <c r="A1" t="s">
        <v>463</v>
      </c>
      <c r="B1" t="s">
        <v>450</v>
      </c>
      <c r="C1" t="s">
        <v>464</v>
      </c>
      <c r="D1" t="s">
        <v>451</v>
      </c>
      <c r="E1" t="s">
        <v>452</v>
      </c>
      <c r="F1" t="s">
        <v>480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458</v>
      </c>
      <c r="M1" t="s">
        <v>459</v>
      </c>
      <c r="N1" t="s">
        <v>460</v>
      </c>
      <c r="O1" t="s">
        <v>491</v>
      </c>
      <c r="P1" t="s">
        <v>465</v>
      </c>
      <c r="Q1" s="3" t="s">
        <v>466</v>
      </c>
      <c r="R1" s="3" t="s">
        <v>488</v>
      </c>
      <c r="S1" t="s">
        <v>486</v>
      </c>
      <c r="T1" t="s">
        <v>487</v>
      </c>
      <c r="U1" t="s">
        <v>489</v>
      </c>
      <c r="V1" t="s">
        <v>490</v>
      </c>
    </row>
    <row r="2" spans="1:22" x14ac:dyDescent="0.25">
      <c r="A2" t="s">
        <v>467</v>
      </c>
      <c r="B2" t="s">
        <v>432</v>
      </c>
      <c r="C2">
        <v>3014</v>
      </c>
      <c r="D2" t="s">
        <v>461</v>
      </c>
      <c r="E2">
        <v>2.25</v>
      </c>
      <c r="F2">
        <v>3150</v>
      </c>
      <c r="G2" t="s">
        <v>433</v>
      </c>
      <c r="H2">
        <v>70</v>
      </c>
      <c r="I2" t="s">
        <v>11</v>
      </c>
      <c r="J2" s="1">
        <v>43545</v>
      </c>
      <c r="K2">
        <v>48</v>
      </c>
      <c r="L2">
        <v>53</v>
      </c>
      <c r="M2" s="1">
        <v>45159</v>
      </c>
      <c r="N2">
        <f t="shared" ref="N2:N65" si="0">(M2-J2)/30.5</f>
        <v>52.918032786885249</v>
      </c>
      <c r="O2" s="1">
        <f t="shared" ref="O2:O65" si="1">IF(ABS(L2-N2)&lt;1, J2, M2-L2*30.5)</f>
        <v>43545</v>
      </c>
      <c r="P2">
        <v>6</v>
      </c>
      <c r="Q2" s="3">
        <v>16</v>
      </c>
      <c r="R2" s="3">
        <v>7.8</v>
      </c>
      <c r="S2" t="s">
        <v>668</v>
      </c>
      <c r="T2" t="str">
        <f>S17</f>
        <v>253/19/G</v>
      </c>
      <c r="U2">
        <v>14</v>
      </c>
      <c r="V2">
        <v>7</v>
      </c>
    </row>
    <row r="3" spans="1:22" x14ac:dyDescent="0.25">
      <c r="A3" t="s">
        <v>467</v>
      </c>
      <c r="B3" t="s">
        <v>432</v>
      </c>
      <c r="C3">
        <v>3014</v>
      </c>
      <c r="D3" t="s">
        <v>461</v>
      </c>
      <c r="E3">
        <v>2.25</v>
      </c>
      <c r="F3">
        <v>3150</v>
      </c>
      <c r="G3" t="s">
        <v>434</v>
      </c>
      <c r="H3">
        <v>257</v>
      </c>
      <c r="I3" t="s">
        <v>11</v>
      </c>
      <c r="J3" s="1">
        <v>43545</v>
      </c>
      <c r="K3">
        <v>48</v>
      </c>
      <c r="L3">
        <v>53</v>
      </c>
      <c r="M3" s="1">
        <v>45160</v>
      </c>
      <c r="N3">
        <f t="shared" si="0"/>
        <v>52.950819672131146</v>
      </c>
      <c r="O3" s="1">
        <f t="shared" si="1"/>
        <v>43545</v>
      </c>
      <c r="P3">
        <v>6</v>
      </c>
      <c r="Q3" s="3">
        <v>16</v>
      </c>
      <c r="R3" s="3">
        <v>7.8</v>
      </c>
      <c r="S3" t="s">
        <v>669</v>
      </c>
      <c r="T3" t="str">
        <f>S2</f>
        <v>129/19/G</v>
      </c>
      <c r="U3">
        <v>14</v>
      </c>
      <c r="V3">
        <v>7</v>
      </c>
    </row>
    <row r="4" spans="1:22" x14ac:dyDescent="0.25">
      <c r="A4" t="s">
        <v>467</v>
      </c>
      <c r="B4" t="s">
        <v>432</v>
      </c>
      <c r="C4">
        <v>3014</v>
      </c>
      <c r="D4" t="s">
        <v>461</v>
      </c>
      <c r="E4">
        <v>2.25</v>
      </c>
      <c r="F4">
        <v>3150</v>
      </c>
      <c r="G4" t="s">
        <v>435</v>
      </c>
      <c r="H4">
        <v>253</v>
      </c>
      <c r="I4" t="s">
        <v>11</v>
      </c>
      <c r="J4" s="1">
        <v>43545</v>
      </c>
      <c r="K4">
        <v>48</v>
      </c>
      <c r="L4">
        <v>53</v>
      </c>
      <c r="M4" s="1">
        <v>45161</v>
      </c>
      <c r="N4">
        <f t="shared" si="0"/>
        <v>52.983606557377051</v>
      </c>
      <c r="O4" s="1">
        <f t="shared" si="1"/>
        <v>43545</v>
      </c>
      <c r="P4">
        <v>6</v>
      </c>
      <c r="Q4" s="3">
        <v>16</v>
      </c>
      <c r="R4" s="3">
        <v>7.8</v>
      </c>
      <c r="S4" t="s">
        <v>670</v>
      </c>
      <c r="T4" t="str">
        <f t="shared" ref="T4:T17" si="2">S3</f>
        <v>126/19/G</v>
      </c>
      <c r="U4">
        <v>14</v>
      </c>
      <c r="V4">
        <v>7</v>
      </c>
    </row>
    <row r="5" spans="1:22" x14ac:dyDescent="0.25">
      <c r="A5" t="s">
        <v>467</v>
      </c>
      <c r="B5" t="s">
        <v>432</v>
      </c>
      <c r="C5">
        <v>3014</v>
      </c>
      <c r="D5" t="s">
        <v>461</v>
      </c>
      <c r="E5">
        <v>2.25</v>
      </c>
      <c r="F5">
        <v>3150</v>
      </c>
      <c r="G5" t="s">
        <v>436</v>
      </c>
      <c r="H5">
        <v>153</v>
      </c>
      <c r="I5" t="s">
        <v>11</v>
      </c>
      <c r="J5" s="1">
        <v>43545</v>
      </c>
      <c r="K5">
        <v>48</v>
      </c>
      <c r="L5">
        <v>53</v>
      </c>
      <c r="M5" s="1">
        <v>45162</v>
      </c>
      <c r="N5">
        <f t="shared" si="0"/>
        <v>53.016393442622949</v>
      </c>
      <c r="O5" s="1">
        <f t="shared" si="1"/>
        <v>43545</v>
      </c>
      <c r="P5">
        <v>6</v>
      </c>
      <c r="Q5" s="3">
        <v>16</v>
      </c>
      <c r="R5" s="3">
        <v>7.8</v>
      </c>
      <c r="S5" t="s">
        <v>671</v>
      </c>
      <c r="T5" t="str">
        <f t="shared" si="2"/>
        <v>123/19/G</v>
      </c>
      <c r="U5">
        <v>14</v>
      </c>
      <c r="V5">
        <v>7</v>
      </c>
    </row>
    <row r="6" spans="1:22" x14ac:dyDescent="0.25">
      <c r="A6" t="s">
        <v>467</v>
      </c>
      <c r="B6" t="s">
        <v>432</v>
      </c>
      <c r="C6">
        <v>3014</v>
      </c>
      <c r="D6" t="s">
        <v>461</v>
      </c>
      <c r="E6">
        <v>2.25</v>
      </c>
      <c r="F6">
        <v>3150</v>
      </c>
      <c r="G6" t="s">
        <v>437</v>
      </c>
      <c r="H6">
        <v>89</v>
      </c>
      <c r="I6" t="s">
        <v>11</v>
      </c>
      <c r="J6" s="1">
        <v>43545</v>
      </c>
      <c r="K6">
        <v>48</v>
      </c>
      <c r="L6">
        <v>53</v>
      </c>
      <c r="M6" s="1">
        <v>45163</v>
      </c>
      <c r="N6">
        <f t="shared" si="0"/>
        <v>53.049180327868854</v>
      </c>
      <c r="O6" s="1">
        <f t="shared" si="1"/>
        <v>43545</v>
      </c>
      <c r="P6">
        <v>6</v>
      </c>
      <c r="Q6" s="3">
        <v>16</v>
      </c>
      <c r="R6" s="3">
        <v>7.8</v>
      </c>
      <c r="S6" t="s">
        <v>672</v>
      </c>
      <c r="T6" t="str">
        <f t="shared" si="2"/>
        <v>252/19/G</v>
      </c>
      <c r="U6">
        <v>14</v>
      </c>
      <c r="V6">
        <v>7</v>
      </c>
    </row>
    <row r="7" spans="1:22" x14ac:dyDescent="0.25">
      <c r="A7" t="s">
        <v>467</v>
      </c>
      <c r="B7" t="s">
        <v>432</v>
      </c>
      <c r="C7">
        <v>3014</v>
      </c>
      <c r="D7" t="s">
        <v>461</v>
      </c>
      <c r="E7">
        <v>2.25</v>
      </c>
      <c r="F7">
        <v>3150</v>
      </c>
      <c r="G7" t="s">
        <v>438</v>
      </c>
      <c r="H7">
        <v>258</v>
      </c>
      <c r="I7" t="s">
        <v>11</v>
      </c>
      <c r="J7" s="1">
        <v>43545</v>
      </c>
      <c r="K7">
        <v>48</v>
      </c>
      <c r="L7">
        <v>53</v>
      </c>
      <c r="M7" s="1">
        <v>45164</v>
      </c>
      <c r="N7">
        <f t="shared" si="0"/>
        <v>53.081967213114751</v>
      </c>
      <c r="O7" s="1">
        <f t="shared" si="1"/>
        <v>43545</v>
      </c>
      <c r="P7">
        <v>6</v>
      </c>
      <c r="Q7" s="3">
        <v>16</v>
      </c>
      <c r="R7" s="3">
        <v>7.8</v>
      </c>
      <c r="S7" t="s">
        <v>673</v>
      </c>
      <c r="T7" t="str">
        <f t="shared" si="2"/>
        <v>121/19/G</v>
      </c>
      <c r="U7">
        <v>14</v>
      </c>
      <c r="V7">
        <v>7</v>
      </c>
    </row>
    <row r="8" spans="1:22" x14ac:dyDescent="0.25">
      <c r="A8" t="s">
        <v>467</v>
      </c>
      <c r="B8" t="s">
        <v>432</v>
      </c>
      <c r="C8">
        <v>3014</v>
      </c>
      <c r="D8" t="s">
        <v>461</v>
      </c>
      <c r="E8">
        <v>2.25</v>
      </c>
      <c r="F8">
        <v>3150</v>
      </c>
      <c r="G8" t="s">
        <v>439</v>
      </c>
      <c r="H8">
        <v>8</v>
      </c>
      <c r="I8" t="s">
        <v>11</v>
      </c>
      <c r="J8" s="1">
        <v>43545</v>
      </c>
      <c r="K8">
        <v>48</v>
      </c>
      <c r="L8">
        <v>53</v>
      </c>
      <c r="M8" s="1">
        <v>45165</v>
      </c>
      <c r="N8">
        <f t="shared" si="0"/>
        <v>53.114754098360656</v>
      </c>
      <c r="O8" s="1">
        <f t="shared" si="1"/>
        <v>43545</v>
      </c>
      <c r="P8">
        <v>6</v>
      </c>
      <c r="Q8" s="3">
        <v>16</v>
      </c>
      <c r="R8" s="3">
        <v>7.8</v>
      </c>
      <c r="S8" t="s">
        <v>674</v>
      </c>
      <c r="T8" t="str">
        <f t="shared" si="2"/>
        <v>137/19/G</v>
      </c>
      <c r="U8">
        <v>14</v>
      </c>
      <c r="V8">
        <v>7</v>
      </c>
    </row>
    <row r="9" spans="1:22" x14ac:dyDescent="0.25">
      <c r="A9" t="s">
        <v>467</v>
      </c>
      <c r="B9" t="s">
        <v>432</v>
      </c>
      <c r="C9">
        <v>3014</v>
      </c>
      <c r="D9" t="s">
        <v>461</v>
      </c>
      <c r="E9">
        <v>2.25</v>
      </c>
      <c r="F9">
        <v>3150</v>
      </c>
      <c r="G9" t="s">
        <v>440</v>
      </c>
      <c r="H9">
        <v>246</v>
      </c>
      <c r="I9" t="s">
        <v>11</v>
      </c>
      <c r="J9" s="1">
        <v>43545</v>
      </c>
      <c r="K9">
        <v>48</v>
      </c>
      <c r="L9">
        <v>53</v>
      </c>
      <c r="M9" s="1">
        <v>45166</v>
      </c>
      <c r="N9">
        <f t="shared" si="0"/>
        <v>53.147540983606561</v>
      </c>
      <c r="O9" s="1">
        <f t="shared" si="1"/>
        <v>43545</v>
      </c>
      <c r="P9">
        <v>6</v>
      </c>
      <c r="Q9" s="3">
        <v>16</v>
      </c>
      <c r="R9" s="3">
        <v>7.8</v>
      </c>
      <c r="S9" t="s">
        <v>675</v>
      </c>
      <c r="T9" t="str">
        <f t="shared" si="2"/>
        <v>135/19/G</v>
      </c>
      <c r="U9">
        <v>14</v>
      </c>
      <c r="V9">
        <v>7</v>
      </c>
    </row>
    <row r="10" spans="1:22" x14ac:dyDescent="0.25">
      <c r="A10" t="s">
        <v>467</v>
      </c>
      <c r="B10" t="s">
        <v>432</v>
      </c>
      <c r="C10">
        <v>3014</v>
      </c>
      <c r="D10" t="s">
        <v>461</v>
      </c>
      <c r="E10">
        <v>2.25</v>
      </c>
      <c r="F10">
        <v>3150</v>
      </c>
      <c r="G10" t="s">
        <v>441</v>
      </c>
      <c r="H10">
        <v>262</v>
      </c>
      <c r="I10" t="s">
        <v>11</v>
      </c>
      <c r="J10" s="1">
        <v>43545</v>
      </c>
      <c r="K10">
        <v>48</v>
      </c>
      <c r="L10">
        <v>53</v>
      </c>
      <c r="M10" s="1">
        <v>45167</v>
      </c>
      <c r="N10">
        <f t="shared" si="0"/>
        <v>53.180327868852459</v>
      </c>
      <c r="O10" s="1">
        <f t="shared" si="1"/>
        <v>43545</v>
      </c>
      <c r="P10">
        <v>6</v>
      </c>
      <c r="Q10" s="3">
        <v>16</v>
      </c>
      <c r="R10" s="3">
        <v>7.8</v>
      </c>
      <c r="S10" t="s">
        <v>676</v>
      </c>
      <c r="T10" t="str">
        <f t="shared" si="2"/>
        <v>113/19/G</v>
      </c>
      <c r="U10">
        <v>14</v>
      </c>
      <c r="V10">
        <v>7</v>
      </c>
    </row>
    <row r="11" spans="1:22" x14ac:dyDescent="0.25">
      <c r="A11" t="s">
        <v>467</v>
      </c>
      <c r="B11" t="s">
        <v>432</v>
      </c>
      <c r="C11">
        <v>3014</v>
      </c>
      <c r="D11" t="s">
        <v>461</v>
      </c>
      <c r="E11">
        <v>2.25</v>
      </c>
      <c r="F11">
        <v>3150</v>
      </c>
      <c r="G11" t="s">
        <v>442</v>
      </c>
      <c r="H11">
        <v>263</v>
      </c>
      <c r="I11" t="s">
        <v>11</v>
      </c>
      <c r="J11" s="1">
        <v>43545</v>
      </c>
      <c r="K11">
        <v>48</v>
      </c>
      <c r="L11">
        <v>53</v>
      </c>
      <c r="M11" s="1">
        <v>45168</v>
      </c>
      <c r="N11">
        <f t="shared" si="0"/>
        <v>53.213114754098363</v>
      </c>
      <c r="O11" s="1">
        <f t="shared" si="1"/>
        <v>43545</v>
      </c>
      <c r="P11">
        <v>6</v>
      </c>
      <c r="Q11" s="3">
        <v>16</v>
      </c>
      <c r="R11" s="3">
        <v>7.8</v>
      </c>
      <c r="S11" t="s">
        <v>677</v>
      </c>
      <c r="T11" t="str">
        <f t="shared" si="2"/>
        <v>111/19/G</v>
      </c>
      <c r="U11">
        <v>14</v>
      </c>
      <c r="V11">
        <v>7</v>
      </c>
    </row>
    <row r="12" spans="1:22" x14ac:dyDescent="0.25">
      <c r="A12" t="s">
        <v>467</v>
      </c>
      <c r="B12" t="s">
        <v>432</v>
      </c>
      <c r="C12">
        <v>3014</v>
      </c>
      <c r="D12" t="s">
        <v>461</v>
      </c>
      <c r="E12">
        <v>2.25</v>
      </c>
      <c r="F12">
        <v>3150</v>
      </c>
      <c r="G12" t="s">
        <v>443</v>
      </c>
      <c r="H12">
        <v>248</v>
      </c>
      <c r="I12" t="s">
        <v>11</v>
      </c>
      <c r="J12" s="1">
        <v>43545</v>
      </c>
      <c r="K12">
        <v>48</v>
      </c>
      <c r="L12">
        <v>53</v>
      </c>
      <c r="M12" s="1">
        <v>45169</v>
      </c>
      <c r="N12">
        <f t="shared" si="0"/>
        <v>53.245901639344261</v>
      </c>
      <c r="O12" s="1">
        <f t="shared" si="1"/>
        <v>43545</v>
      </c>
      <c r="P12">
        <v>6</v>
      </c>
      <c r="Q12" s="3">
        <v>16</v>
      </c>
      <c r="R12" s="3">
        <v>7.8</v>
      </c>
      <c r="S12" t="s">
        <v>678</v>
      </c>
      <c r="T12" t="str">
        <f t="shared" si="2"/>
        <v>128/19/G</v>
      </c>
      <c r="U12">
        <v>14</v>
      </c>
      <c r="V12">
        <v>7</v>
      </c>
    </row>
    <row r="13" spans="1:22" x14ac:dyDescent="0.25">
      <c r="A13" t="s">
        <v>467</v>
      </c>
      <c r="B13" t="s">
        <v>432</v>
      </c>
      <c r="C13">
        <v>3014</v>
      </c>
      <c r="D13" t="s">
        <v>461</v>
      </c>
      <c r="E13">
        <v>2.25</v>
      </c>
      <c r="F13">
        <v>3150</v>
      </c>
      <c r="G13" t="s">
        <v>444</v>
      </c>
      <c r="H13">
        <v>247</v>
      </c>
      <c r="I13" t="s">
        <v>11</v>
      </c>
      <c r="J13" s="1">
        <v>43545</v>
      </c>
      <c r="K13">
        <v>48</v>
      </c>
      <c r="L13">
        <v>53</v>
      </c>
      <c r="M13" s="1">
        <v>45170</v>
      </c>
      <c r="N13">
        <f t="shared" si="0"/>
        <v>53.278688524590166</v>
      </c>
      <c r="O13" s="1">
        <f t="shared" si="1"/>
        <v>43545</v>
      </c>
      <c r="P13">
        <v>6</v>
      </c>
      <c r="Q13" s="3">
        <v>16</v>
      </c>
      <c r="R13" s="3">
        <v>7.8</v>
      </c>
      <c r="S13" t="s">
        <v>679</v>
      </c>
      <c r="T13" t="str">
        <f t="shared" si="2"/>
        <v>114/19/G</v>
      </c>
      <c r="U13">
        <v>14</v>
      </c>
      <c r="V13">
        <v>7</v>
      </c>
    </row>
    <row r="14" spans="1:22" x14ac:dyDescent="0.25">
      <c r="A14" t="s">
        <v>467</v>
      </c>
      <c r="B14" t="s">
        <v>432</v>
      </c>
      <c r="C14">
        <v>3014</v>
      </c>
      <c r="D14" t="s">
        <v>461</v>
      </c>
      <c r="E14">
        <v>2.25</v>
      </c>
      <c r="F14">
        <v>3150</v>
      </c>
      <c r="G14" t="s">
        <v>445</v>
      </c>
      <c r="H14">
        <v>248</v>
      </c>
      <c r="I14" t="s">
        <v>11</v>
      </c>
      <c r="J14" s="1">
        <v>43545</v>
      </c>
      <c r="K14">
        <v>48</v>
      </c>
      <c r="L14">
        <v>53</v>
      </c>
      <c r="M14" s="1">
        <v>45171</v>
      </c>
      <c r="N14">
        <f t="shared" si="0"/>
        <v>53.311475409836063</v>
      </c>
      <c r="O14" s="1">
        <f t="shared" si="1"/>
        <v>43545</v>
      </c>
      <c r="P14">
        <v>6</v>
      </c>
      <c r="Q14" s="3">
        <v>16</v>
      </c>
      <c r="R14" s="3">
        <v>7.8</v>
      </c>
      <c r="S14" t="s">
        <v>680</v>
      </c>
      <c r="T14" t="str">
        <f t="shared" si="2"/>
        <v>115/19/G</v>
      </c>
      <c r="U14">
        <v>14</v>
      </c>
      <c r="V14">
        <v>7</v>
      </c>
    </row>
    <row r="15" spans="1:22" x14ac:dyDescent="0.25">
      <c r="A15" t="s">
        <v>467</v>
      </c>
      <c r="B15" t="s">
        <v>432</v>
      </c>
      <c r="C15">
        <v>3014</v>
      </c>
      <c r="D15" t="s">
        <v>461</v>
      </c>
      <c r="E15">
        <v>2.25</v>
      </c>
      <c r="F15">
        <v>3150</v>
      </c>
      <c r="G15" t="s">
        <v>446</v>
      </c>
      <c r="H15">
        <v>246</v>
      </c>
      <c r="I15" t="s">
        <v>11</v>
      </c>
      <c r="J15" s="1">
        <v>43545</v>
      </c>
      <c r="K15">
        <v>48</v>
      </c>
      <c r="L15">
        <v>53</v>
      </c>
      <c r="M15" s="1">
        <v>45172</v>
      </c>
      <c r="N15">
        <f t="shared" si="0"/>
        <v>53.344262295081968</v>
      </c>
      <c r="O15" s="1">
        <f t="shared" si="1"/>
        <v>43545</v>
      </c>
      <c r="P15">
        <v>6</v>
      </c>
      <c r="Q15" s="3">
        <v>16</v>
      </c>
      <c r="R15" s="3">
        <v>7.8</v>
      </c>
      <c r="S15" t="s">
        <v>681</v>
      </c>
      <c r="T15" t="str">
        <f t="shared" si="2"/>
        <v>119/19/G</v>
      </c>
      <c r="U15">
        <v>14</v>
      </c>
      <c r="V15">
        <v>7</v>
      </c>
    </row>
    <row r="16" spans="1:22" x14ac:dyDescent="0.25">
      <c r="A16" t="s">
        <v>467</v>
      </c>
      <c r="B16" t="s">
        <v>432</v>
      </c>
      <c r="C16">
        <v>3014</v>
      </c>
      <c r="D16" t="s">
        <v>461</v>
      </c>
      <c r="E16">
        <v>2.25</v>
      </c>
      <c r="F16">
        <v>3150</v>
      </c>
      <c r="G16" t="s">
        <v>447</v>
      </c>
      <c r="H16">
        <v>108</v>
      </c>
      <c r="I16" t="s">
        <v>11</v>
      </c>
      <c r="J16" s="1">
        <v>43545</v>
      </c>
      <c r="K16">
        <v>48</v>
      </c>
      <c r="L16">
        <v>53</v>
      </c>
      <c r="M16" s="1">
        <v>45173</v>
      </c>
      <c r="N16">
        <f t="shared" si="0"/>
        <v>53.377049180327866</v>
      </c>
      <c r="O16" s="1">
        <f t="shared" si="1"/>
        <v>43545</v>
      </c>
      <c r="P16">
        <v>6</v>
      </c>
      <c r="Q16" s="3">
        <v>16</v>
      </c>
      <c r="R16" s="3">
        <v>7.8</v>
      </c>
      <c r="S16" t="s">
        <v>682</v>
      </c>
      <c r="T16" t="str">
        <f t="shared" si="2"/>
        <v>193/20/G</v>
      </c>
      <c r="U16">
        <v>14</v>
      </c>
      <c r="V16">
        <v>7</v>
      </c>
    </row>
    <row r="17" spans="1:22" x14ac:dyDescent="0.25">
      <c r="A17" t="s">
        <v>467</v>
      </c>
      <c r="B17" t="s">
        <v>432</v>
      </c>
      <c r="C17">
        <v>3014</v>
      </c>
      <c r="D17" t="s">
        <v>461</v>
      </c>
      <c r="E17">
        <v>2.25</v>
      </c>
      <c r="F17">
        <v>3150</v>
      </c>
      <c r="G17" t="s">
        <v>448</v>
      </c>
      <c r="H17">
        <v>58</v>
      </c>
      <c r="I17" t="s">
        <v>11</v>
      </c>
      <c r="J17" s="1">
        <v>43612</v>
      </c>
      <c r="K17">
        <v>48</v>
      </c>
      <c r="L17">
        <v>61</v>
      </c>
      <c r="M17" s="1">
        <v>45174</v>
      </c>
      <c r="N17">
        <f t="shared" si="0"/>
        <v>51.213114754098363</v>
      </c>
      <c r="O17" s="1">
        <f t="shared" si="1"/>
        <v>43313.5</v>
      </c>
      <c r="P17">
        <v>6</v>
      </c>
      <c r="Q17" s="3">
        <v>16</v>
      </c>
      <c r="R17" s="3">
        <v>7.8</v>
      </c>
      <c r="S17" t="s">
        <v>683</v>
      </c>
      <c r="T17" t="str">
        <f t="shared" si="2"/>
        <v>254/19/G</v>
      </c>
      <c r="U17">
        <v>14</v>
      </c>
      <c r="V17">
        <v>7</v>
      </c>
    </row>
    <row r="18" spans="1:22" x14ac:dyDescent="0.25">
      <c r="A18" t="s">
        <v>467</v>
      </c>
      <c r="B18" t="s">
        <v>409</v>
      </c>
      <c r="C18">
        <v>2267</v>
      </c>
      <c r="D18" t="s">
        <v>461</v>
      </c>
      <c r="E18">
        <v>2.25</v>
      </c>
      <c r="F18">
        <v>3150</v>
      </c>
      <c r="G18" t="s">
        <v>410</v>
      </c>
      <c r="H18">
        <v>250</v>
      </c>
      <c r="I18" t="s">
        <v>11</v>
      </c>
      <c r="J18" s="1">
        <v>43395</v>
      </c>
      <c r="K18">
        <v>48</v>
      </c>
      <c r="L18">
        <v>58</v>
      </c>
      <c r="M18" s="1">
        <v>45159</v>
      </c>
      <c r="N18">
        <f t="shared" si="0"/>
        <v>57.83606557377049</v>
      </c>
      <c r="O18" s="1">
        <f t="shared" si="1"/>
        <v>43395</v>
      </c>
      <c r="P18">
        <v>6</v>
      </c>
      <c r="Q18" s="3">
        <v>10</v>
      </c>
      <c r="R18" s="3">
        <v>7.8</v>
      </c>
      <c r="S18" t="s">
        <v>492</v>
      </c>
      <c r="T18" t="s">
        <v>493</v>
      </c>
      <c r="U18">
        <v>14</v>
      </c>
      <c r="V18">
        <v>7</v>
      </c>
    </row>
    <row r="19" spans="1:22" x14ac:dyDescent="0.25">
      <c r="A19" t="s">
        <v>467</v>
      </c>
      <c r="B19" t="s">
        <v>409</v>
      </c>
      <c r="C19">
        <v>2267</v>
      </c>
      <c r="D19" t="s">
        <v>461</v>
      </c>
      <c r="E19">
        <v>2.25</v>
      </c>
      <c r="F19">
        <v>3150</v>
      </c>
      <c r="G19" t="s">
        <v>411</v>
      </c>
      <c r="H19">
        <v>249</v>
      </c>
      <c r="I19" t="s">
        <v>11</v>
      </c>
      <c r="J19" s="1">
        <v>43395</v>
      </c>
      <c r="K19">
        <v>48</v>
      </c>
      <c r="L19">
        <v>58</v>
      </c>
      <c r="M19" s="1">
        <v>45159</v>
      </c>
      <c r="N19">
        <f t="shared" si="0"/>
        <v>57.83606557377049</v>
      </c>
      <c r="O19" s="1">
        <f t="shared" si="1"/>
        <v>43395</v>
      </c>
      <c r="P19">
        <v>6</v>
      </c>
      <c r="Q19" s="3">
        <v>10</v>
      </c>
      <c r="R19" s="3">
        <v>7.8</v>
      </c>
      <c r="S19" t="s">
        <v>494</v>
      </c>
      <c r="T19" t="str">
        <f>S18</f>
        <v>473/18/G</v>
      </c>
      <c r="U19">
        <v>14</v>
      </c>
      <c r="V19">
        <v>7</v>
      </c>
    </row>
    <row r="20" spans="1:22" x14ac:dyDescent="0.25">
      <c r="A20" t="s">
        <v>467</v>
      </c>
      <c r="B20" t="s">
        <v>409</v>
      </c>
      <c r="C20">
        <v>2267</v>
      </c>
      <c r="D20" t="s">
        <v>461</v>
      </c>
      <c r="E20">
        <v>2.25</v>
      </c>
      <c r="F20">
        <v>3150</v>
      </c>
      <c r="G20" t="s">
        <v>412</v>
      </c>
      <c r="H20">
        <v>196</v>
      </c>
      <c r="I20" t="s">
        <v>11</v>
      </c>
      <c r="J20" s="1">
        <v>43395</v>
      </c>
      <c r="K20">
        <v>48</v>
      </c>
      <c r="L20">
        <v>58</v>
      </c>
      <c r="M20" s="1">
        <v>45159</v>
      </c>
      <c r="N20">
        <f t="shared" si="0"/>
        <v>57.83606557377049</v>
      </c>
      <c r="O20" s="1">
        <f t="shared" si="1"/>
        <v>43395</v>
      </c>
      <c r="P20">
        <v>6</v>
      </c>
      <c r="Q20" s="3">
        <v>10</v>
      </c>
      <c r="R20" s="3">
        <v>7.8</v>
      </c>
      <c r="S20" t="s">
        <v>496</v>
      </c>
      <c r="T20" t="str">
        <f t="shared" ref="T20:T27" si="3">S19</f>
        <v>476/18/G</v>
      </c>
      <c r="U20">
        <v>14</v>
      </c>
      <c r="V20">
        <v>7</v>
      </c>
    </row>
    <row r="21" spans="1:22" x14ac:dyDescent="0.25">
      <c r="A21" t="s">
        <v>467</v>
      </c>
      <c r="B21" t="s">
        <v>409</v>
      </c>
      <c r="C21">
        <v>2267</v>
      </c>
      <c r="D21" t="s">
        <v>461</v>
      </c>
      <c r="E21">
        <v>2.25</v>
      </c>
      <c r="F21">
        <v>3150</v>
      </c>
      <c r="G21" t="s">
        <v>413</v>
      </c>
      <c r="H21">
        <v>81</v>
      </c>
      <c r="I21" t="s">
        <v>11</v>
      </c>
      <c r="J21" s="1">
        <v>43395</v>
      </c>
      <c r="K21">
        <v>48</v>
      </c>
      <c r="L21">
        <v>58</v>
      </c>
      <c r="M21" s="1">
        <v>45159</v>
      </c>
      <c r="N21">
        <f t="shared" si="0"/>
        <v>57.83606557377049</v>
      </c>
      <c r="O21" s="1">
        <f t="shared" si="1"/>
        <v>43395</v>
      </c>
      <c r="P21">
        <v>6</v>
      </c>
      <c r="Q21" s="3">
        <v>10</v>
      </c>
      <c r="R21" s="3">
        <v>7.8</v>
      </c>
      <c r="S21" t="s">
        <v>497</v>
      </c>
      <c r="T21" t="str">
        <f t="shared" si="3"/>
        <v>229/20/G</v>
      </c>
      <c r="U21">
        <v>14</v>
      </c>
      <c r="V21">
        <v>7</v>
      </c>
    </row>
    <row r="22" spans="1:22" x14ac:dyDescent="0.25">
      <c r="A22" t="s">
        <v>467</v>
      </c>
      <c r="B22" t="s">
        <v>409</v>
      </c>
      <c r="C22">
        <v>2267</v>
      </c>
      <c r="D22" t="s">
        <v>461</v>
      </c>
      <c r="E22">
        <v>2.25</v>
      </c>
      <c r="F22">
        <v>3150</v>
      </c>
      <c r="G22" t="s">
        <v>414</v>
      </c>
      <c r="H22">
        <v>248</v>
      </c>
      <c r="I22" t="s">
        <v>11</v>
      </c>
      <c r="J22" s="1">
        <v>43395</v>
      </c>
      <c r="K22">
        <v>48</v>
      </c>
      <c r="L22">
        <v>58</v>
      </c>
      <c r="M22" s="1">
        <v>45159</v>
      </c>
      <c r="N22">
        <f t="shared" si="0"/>
        <v>57.83606557377049</v>
      </c>
      <c r="O22" s="1">
        <f t="shared" si="1"/>
        <v>43395</v>
      </c>
      <c r="P22">
        <v>6</v>
      </c>
      <c r="Q22" s="3">
        <v>10</v>
      </c>
      <c r="R22" s="3">
        <v>7.8</v>
      </c>
      <c r="S22" t="s">
        <v>495</v>
      </c>
      <c r="T22" t="str">
        <f t="shared" si="3"/>
        <v>479/18/G</v>
      </c>
      <c r="U22">
        <v>14</v>
      </c>
      <c r="V22">
        <v>7</v>
      </c>
    </row>
    <row r="23" spans="1:22" x14ac:dyDescent="0.25">
      <c r="A23" t="s">
        <v>467</v>
      </c>
      <c r="B23" t="s">
        <v>409</v>
      </c>
      <c r="C23">
        <v>2267</v>
      </c>
      <c r="D23" t="s">
        <v>461</v>
      </c>
      <c r="E23">
        <v>2.25</v>
      </c>
      <c r="F23">
        <v>3150</v>
      </c>
      <c r="G23" t="s">
        <v>415</v>
      </c>
      <c r="H23">
        <v>247</v>
      </c>
      <c r="I23" t="s">
        <v>11</v>
      </c>
      <c r="J23" s="1">
        <v>43395</v>
      </c>
      <c r="K23">
        <v>48</v>
      </c>
      <c r="L23">
        <v>58</v>
      </c>
      <c r="M23" s="1">
        <v>45159</v>
      </c>
      <c r="N23">
        <f t="shared" si="0"/>
        <v>57.83606557377049</v>
      </c>
      <c r="O23" s="1">
        <f t="shared" si="1"/>
        <v>43395</v>
      </c>
      <c r="P23">
        <v>6</v>
      </c>
      <c r="Q23" s="3">
        <v>10</v>
      </c>
      <c r="R23" s="3">
        <v>7.8</v>
      </c>
      <c r="S23" t="s">
        <v>498</v>
      </c>
      <c r="T23" t="str">
        <f t="shared" si="3"/>
        <v>475/18/G</v>
      </c>
      <c r="U23">
        <v>14</v>
      </c>
      <c r="V23">
        <v>7</v>
      </c>
    </row>
    <row r="24" spans="1:22" x14ac:dyDescent="0.25">
      <c r="A24" t="s">
        <v>467</v>
      </c>
      <c r="B24" t="s">
        <v>409</v>
      </c>
      <c r="C24">
        <v>2267</v>
      </c>
      <c r="D24" t="s">
        <v>461</v>
      </c>
      <c r="E24">
        <v>2.25</v>
      </c>
      <c r="F24">
        <v>3150</v>
      </c>
      <c r="G24" t="s">
        <v>416</v>
      </c>
      <c r="H24">
        <v>249</v>
      </c>
      <c r="I24" t="s">
        <v>11</v>
      </c>
      <c r="J24" s="1">
        <v>43395</v>
      </c>
      <c r="K24">
        <v>48</v>
      </c>
      <c r="L24">
        <v>58</v>
      </c>
      <c r="M24" s="1">
        <v>45159</v>
      </c>
      <c r="N24">
        <f t="shared" si="0"/>
        <v>57.83606557377049</v>
      </c>
      <c r="O24" s="1">
        <f t="shared" si="1"/>
        <v>43395</v>
      </c>
      <c r="P24">
        <v>6</v>
      </c>
      <c r="Q24" s="3">
        <v>10</v>
      </c>
      <c r="R24" s="3">
        <v>7.8</v>
      </c>
      <c r="S24" t="s">
        <v>499</v>
      </c>
      <c r="T24" t="str">
        <f t="shared" si="3"/>
        <v>472/18/G</v>
      </c>
      <c r="U24">
        <v>14</v>
      </c>
      <c r="V24">
        <v>7</v>
      </c>
    </row>
    <row r="25" spans="1:22" x14ac:dyDescent="0.25">
      <c r="A25" t="s">
        <v>467</v>
      </c>
      <c r="B25" t="s">
        <v>409</v>
      </c>
      <c r="C25">
        <v>2267</v>
      </c>
      <c r="D25" t="s">
        <v>461</v>
      </c>
      <c r="E25">
        <v>2.25</v>
      </c>
      <c r="F25">
        <v>3150</v>
      </c>
      <c r="G25" t="s">
        <v>417</v>
      </c>
      <c r="H25">
        <v>249</v>
      </c>
      <c r="I25" t="s">
        <v>11</v>
      </c>
      <c r="J25" s="1">
        <v>43395</v>
      </c>
      <c r="K25">
        <v>48</v>
      </c>
      <c r="L25">
        <v>58</v>
      </c>
      <c r="M25" s="1">
        <v>45159</v>
      </c>
      <c r="N25">
        <f t="shared" si="0"/>
        <v>57.83606557377049</v>
      </c>
      <c r="O25" s="1">
        <f t="shared" si="1"/>
        <v>43395</v>
      </c>
      <c r="P25">
        <v>6</v>
      </c>
      <c r="Q25" s="3">
        <v>10</v>
      </c>
      <c r="R25" s="3">
        <v>7.8</v>
      </c>
      <c r="S25" t="s">
        <v>500</v>
      </c>
      <c r="T25" t="str">
        <f t="shared" si="3"/>
        <v>469/18/G</v>
      </c>
      <c r="U25">
        <v>14</v>
      </c>
      <c r="V25">
        <v>7</v>
      </c>
    </row>
    <row r="26" spans="1:22" x14ac:dyDescent="0.25">
      <c r="A26" t="s">
        <v>467</v>
      </c>
      <c r="B26" t="s">
        <v>409</v>
      </c>
      <c r="C26">
        <v>2267</v>
      </c>
      <c r="D26" t="s">
        <v>461</v>
      </c>
      <c r="E26">
        <v>2.25</v>
      </c>
      <c r="F26">
        <v>3150</v>
      </c>
      <c r="G26" t="s">
        <v>418</v>
      </c>
      <c r="H26">
        <v>249</v>
      </c>
      <c r="I26" t="s">
        <v>11</v>
      </c>
      <c r="J26" s="1">
        <v>43395</v>
      </c>
      <c r="K26">
        <v>48</v>
      </c>
      <c r="L26">
        <v>58</v>
      </c>
      <c r="M26" s="1">
        <v>45159</v>
      </c>
      <c r="N26">
        <f t="shared" si="0"/>
        <v>57.83606557377049</v>
      </c>
      <c r="O26" s="1">
        <f t="shared" si="1"/>
        <v>43395</v>
      </c>
      <c r="P26">
        <v>6</v>
      </c>
      <c r="Q26" s="3">
        <v>10</v>
      </c>
      <c r="R26" s="3">
        <v>7.8</v>
      </c>
      <c r="S26" t="s">
        <v>501</v>
      </c>
      <c r="T26" t="str">
        <f t="shared" si="3"/>
        <v>516/18/G</v>
      </c>
      <c r="U26">
        <v>14</v>
      </c>
      <c r="V26">
        <v>7</v>
      </c>
    </row>
    <row r="27" spans="1:22" x14ac:dyDescent="0.25">
      <c r="A27" t="s">
        <v>467</v>
      </c>
      <c r="B27" t="s">
        <v>409</v>
      </c>
      <c r="C27">
        <v>2267</v>
      </c>
      <c r="D27" t="s">
        <v>461</v>
      </c>
      <c r="E27">
        <v>2.25</v>
      </c>
      <c r="F27">
        <v>3150</v>
      </c>
      <c r="G27" t="s">
        <v>419</v>
      </c>
      <c r="H27">
        <v>249</v>
      </c>
      <c r="I27" t="s">
        <v>11</v>
      </c>
      <c r="J27" s="1">
        <v>43395</v>
      </c>
      <c r="K27">
        <v>48</v>
      </c>
      <c r="L27">
        <v>58</v>
      </c>
      <c r="M27" s="1">
        <v>45159</v>
      </c>
      <c r="N27">
        <f t="shared" si="0"/>
        <v>57.83606557377049</v>
      </c>
      <c r="O27" s="1">
        <f t="shared" si="1"/>
        <v>43395</v>
      </c>
      <c r="P27">
        <v>6</v>
      </c>
      <c r="Q27" s="3">
        <v>10</v>
      </c>
      <c r="R27" s="3">
        <v>7.8</v>
      </c>
      <c r="S27" t="s">
        <v>493</v>
      </c>
      <c r="T27" t="str">
        <f t="shared" si="3"/>
        <v>468/18/G</v>
      </c>
      <c r="U27">
        <v>14</v>
      </c>
      <c r="V27">
        <v>7</v>
      </c>
    </row>
    <row r="28" spans="1:22" x14ac:dyDescent="0.25">
      <c r="A28" t="s">
        <v>467</v>
      </c>
      <c r="B28" t="s">
        <v>449</v>
      </c>
      <c r="C28">
        <v>1859</v>
      </c>
      <c r="D28" t="s">
        <v>461</v>
      </c>
      <c r="E28">
        <v>2.25</v>
      </c>
      <c r="F28">
        <v>3150</v>
      </c>
      <c r="G28" t="s">
        <v>13</v>
      </c>
      <c r="H28">
        <v>192</v>
      </c>
      <c r="I28" t="s">
        <v>11</v>
      </c>
      <c r="J28" s="1">
        <v>43543</v>
      </c>
      <c r="K28">
        <v>60</v>
      </c>
      <c r="L28">
        <v>46</v>
      </c>
      <c r="M28" s="1">
        <v>44930</v>
      </c>
      <c r="N28">
        <f t="shared" si="0"/>
        <v>45.475409836065573</v>
      </c>
      <c r="O28" s="1">
        <f t="shared" si="1"/>
        <v>43543</v>
      </c>
      <c r="P28">
        <v>6</v>
      </c>
      <c r="Q28" s="3">
        <v>15</v>
      </c>
      <c r="R28" s="3">
        <v>7.8</v>
      </c>
      <c r="S28" t="s">
        <v>502</v>
      </c>
      <c r="T28" t="s">
        <v>503</v>
      </c>
      <c r="U28">
        <v>14</v>
      </c>
      <c r="V28">
        <v>7</v>
      </c>
    </row>
    <row r="29" spans="1:22" x14ac:dyDescent="0.25">
      <c r="A29" t="s">
        <v>467</v>
      </c>
      <c r="B29" t="s">
        <v>449</v>
      </c>
      <c r="C29">
        <v>1859</v>
      </c>
      <c r="D29" t="s">
        <v>461</v>
      </c>
      <c r="E29">
        <v>2.25</v>
      </c>
      <c r="F29">
        <v>3150</v>
      </c>
      <c r="G29" t="s">
        <v>14</v>
      </c>
      <c r="H29">
        <v>185</v>
      </c>
      <c r="I29" t="s">
        <v>11</v>
      </c>
      <c r="J29" s="1">
        <v>43543</v>
      </c>
      <c r="K29">
        <v>60</v>
      </c>
      <c r="L29">
        <v>46</v>
      </c>
      <c r="M29" s="1">
        <v>44930</v>
      </c>
      <c r="N29">
        <f t="shared" si="0"/>
        <v>45.475409836065573</v>
      </c>
      <c r="O29" s="1">
        <f t="shared" si="1"/>
        <v>43543</v>
      </c>
      <c r="P29">
        <v>6</v>
      </c>
      <c r="Q29" s="3">
        <v>15</v>
      </c>
      <c r="R29" s="3">
        <v>7.8</v>
      </c>
      <c r="S29" t="s">
        <v>504</v>
      </c>
      <c r="T29" t="str">
        <f>S28</f>
        <v>120/19/G</v>
      </c>
      <c r="U29">
        <v>14</v>
      </c>
      <c r="V29">
        <v>7</v>
      </c>
    </row>
    <row r="30" spans="1:22" x14ac:dyDescent="0.25">
      <c r="A30" t="s">
        <v>467</v>
      </c>
      <c r="B30" t="s">
        <v>449</v>
      </c>
      <c r="C30">
        <v>1859</v>
      </c>
      <c r="D30" t="s">
        <v>461</v>
      </c>
      <c r="E30">
        <v>2.25</v>
      </c>
      <c r="F30">
        <v>3150</v>
      </c>
      <c r="G30" t="s">
        <v>15</v>
      </c>
      <c r="H30">
        <v>9</v>
      </c>
      <c r="I30" t="s">
        <v>11</v>
      </c>
      <c r="J30" s="1">
        <v>42822</v>
      </c>
      <c r="K30">
        <v>60</v>
      </c>
      <c r="L30">
        <v>70</v>
      </c>
      <c r="M30" s="1">
        <v>44930</v>
      </c>
      <c r="N30">
        <f t="shared" si="0"/>
        <v>69.114754098360649</v>
      </c>
      <c r="O30" s="1">
        <f t="shared" si="1"/>
        <v>42822</v>
      </c>
      <c r="P30">
        <v>6</v>
      </c>
      <c r="Q30" s="3">
        <v>15</v>
      </c>
      <c r="R30" s="3">
        <v>7.8</v>
      </c>
      <c r="S30" t="s">
        <v>505</v>
      </c>
      <c r="T30" t="str">
        <f t="shared" ref="T30:T42" si="4">S29</f>
        <v>125/19/G</v>
      </c>
      <c r="U30">
        <v>14</v>
      </c>
      <c r="V30">
        <v>7</v>
      </c>
    </row>
    <row r="31" spans="1:22" x14ac:dyDescent="0.25">
      <c r="A31" t="s">
        <v>467</v>
      </c>
      <c r="B31" t="s">
        <v>449</v>
      </c>
      <c r="C31">
        <v>1859</v>
      </c>
      <c r="D31" t="s">
        <v>461</v>
      </c>
      <c r="E31">
        <v>2.25</v>
      </c>
      <c r="F31">
        <v>3150</v>
      </c>
      <c r="G31" t="s">
        <v>16</v>
      </c>
      <c r="H31">
        <v>70</v>
      </c>
      <c r="I31" t="s">
        <v>11</v>
      </c>
      <c r="J31" s="1">
        <v>42822</v>
      </c>
      <c r="K31">
        <v>60</v>
      </c>
      <c r="L31">
        <v>70</v>
      </c>
      <c r="M31" s="1">
        <v>44930</v>
      </c>
      <c r="N31">
        <f t="shared" si="0"/>
        <v>69.114754098360649</v>
      </c>
      <c r="O31" s="1">
        <f t="shared" si="1"/>
        <v>42822</v>
      </c>
      <c r="P31">
        <v>6</v>
      </c>
      <c r="Q31" s="3">
        <v>15</v>
      </c>
      <c r="R31" s="3">
        <v>7.8</v>
      </c>
      <c r="S31" t="s">
        <v>506</v>
      </c>
      <c r="T31" t="str">
        <f t="shared" si="4"/>
        <v>171/17/G</v>
      </c>
      <c r="U31">
        <v>14</v>
      </c>
      <c r="V31">
        <v>7</v>
      </c>
    </row>
    <row r="32" spans="1:22" x14ac:dyDescent="0.25">
      <c r="A32" t="s">
        <v>467</v>
      </c>
      <c r="B32" t="s">
        <v>449</v>
      </c>
      <c r="C32">
        <v>1859</v>
      </c>
      <c r="D32" t="s">
        <v>461</v>
      </c>
      <c r="E32">
        <v>2.25</v>
      </c>
      <c r="F32">
        <v>3150</v>
      </c>
      <c r="G32" t="s">
        <v>17</v>
      </c>
      <c r="H32">
        <v>254</v>
      </c>
      <c r="I32" t="s">
        <v>11</v>
      </c>
      <c r="J32" s="1">
        <v>43972</v>
      </c>
      <c r="K32">
        <v>60</v>
      </c>
      <c r="L32">
        <v>93</v>
      </c>
      <c r="M32" s="1">
        <v>44930</v>
      </c>
      <c r="N32">
        <f t="shared" si="0"/>
        <v>31.409836065573771</v>
      </c>
      <c r="O32" s="1">
        <f t="shared" si="1"/>
        <v>42093.5</v>
      </c>
      <c r="P32">
        <v>6</v>
      </c>
      <c r="Q32" s="3">
        <v>15</v>
      </c>
      <c r="R32" s="3">
        <v>7.8</v>
      </c>
      <c r="S32" t="s">
        <v>507</v>
      </c>
      <c r="T32" t="str">
        <f t="shared" si="4"/>
        <v>231/20/G</v>
      </c>
      <c r="U32">
        <v>14</v>
      </c>
      <c r="V32">
        <v>7</v>
      </c>
    </row>
    <row r="33" spans="1:22" x14ac:dyDescent="0.25">
      <c r="A33" t="s">
        <v>467</v>
      </c>
      <c r="B33" t="s">
        <v>449</v>
      </c>
      <c r="C33">
        <v>1859</v>
      </c>
      <c r="D33" t="s">
        <v>461</v>
      </c>
      <c r="E33">
        <v>2.25</v>
      </c>
      <c r="F33">
        <v>3150</v>
      </c>
      <c r="G33" t="s">
        <v>18</v>
      </c>
      <c r="H33">
        <v>62</v>
      </c>
      <c r="I33" t="s">
        <v>11</v>
      </c>
      <c r="J33" s="1">
        <v>43972</v>
      </c>
      <c r="K33">
        <v>60</v>
      </c>
      <c r="L33">
        <v>65</v>
      </c>
      <c r="M33" s="1">
        <v>44930</v>
      </c>
      <c r="N33">
        <f t="shared" si="0"/>
        <v>31.409836065573771</v>
      </c>
      <c r="O33" s="1">
        <f t="shared" si="1"/>
        <v>42947.5</v>
      </c>
      <c r="P33">
        <v>6</v>
      </c>
      <c r="Q33" s="3">
        <v>15</v>
      </c>
      <c r="R33" s="3">
        <v>7.8</v>
      </c>
      <c r="S33" t="s">
        <v>508</v>
      </c>
      <c r="T33" t="str">
        <f t="shared" si="4"/>
        <v>236/20/G</v>
      </c>
      <c r="U33">
        <v>14</v>
      </c>
      <c r="V33">
        <v>7</v>
      </c>
    </row>
    <row r="34" spans="1:22" x14ac:dyDescent="0.25">
      <c r="A34" t="s">
        <v>467</v>
      </c>
      <c r="B34" t="s">
        <v>449</v>
      </c>
      <c r="C34">
        <v>1859</v>
      </c>
      <c r="D34" t="s">
        <v>461</v>
      </c>
      <c r="E34">
        <v>2.25</v>
      </c>
      <c r="F34">
        <v>3150</v>
      </c>
      <c r="G34" t="s">
        <v>19</v>
      </c>
      <c r="H34">
        <v>254</v>
      </c>
      <c r="I34" t="s">
        <v>11</v>
      </c>
      <c r="J34" s="1">
        <v>43972</v>
      </c>
      <c r="K34">
        <v>60</v>
      </c>
      <c r="L34">
        <v>93</v>
      </c>
      <c r="M34" s="1">
        <v>44930</v>
      </c>
      <c r="N34">
        <f t="shared" si="0"/>
        <v>31.409836065573771</v>
      </c>
      <c r="O34" s="1">
        <f t="shared" si="1"/>
        <v>42093.5</v>
      </c>
      <c r="P34">
        <v>6</v>
      </c>
      <c r="Q34" s="3">
        <v>15</v>
      </c>
      <c r="R34" s="3">
        <v>7.8</v>
      </c>
      <c r="S34" t="s">
        <v>509</v>
      </c>
      <c r="T34" t="str">
        <f t="shared" si="4"/>
        <v>228/20/G</v>
      </c>
      <c r="U34">
        <v>14</v>
      </c>
      <c r="V34">
        <v>7</v>
      </c>
    </row>
    <row r="35" spans="1:22" x14ac:dyDescent="0.25">
      <c r="A35" t="s">
        <v>467</v>
      </c>
      <c r="B35" t="s">
        <v>449</v>
      </c>
      <c r="C35">
        <v>1859</v>
      </c>
      <c r="D35" t="s">
        <v>461</v>
      </c>
      <c r="E35">
        <v>2.25</v>
      </c>
      <c r="F35">
        <v>3150</v>
      </c>
      <c r="G35" t="s">
        <v>20</v>
      </c>
      <c r="H35">
        <v>92</v>
      </c>
      <c r="I35" t="s">
        <v>28</v>
      </c>
      <c r="J35" s="1">
        <v>44725</v>
      </c>
      <c r="K35">
        <v>48</v>
      </c>
      <c r="L35">
        <v>7</v>
      </c>
      <c r="M35" s="1">
        <v>44930</v>
      </c>
      <c r="N35">
        <f t="shared" si="0"/>
        <v>6.721311475409836</v>
      </c>
      <c r="O35" s="1">
        <f t="shared" si="1"/>
        <v>44725</v>
      </c>
      <c r="P35">
        <v>6</v>
      </c>
      <c r="Q35" s="3">
        <v>15</v>
      </c>
      <c r="R35" s="3">
        <v>7.8</v>
      </c>
      <c r="S35" t="s">
        <v>510</v>
      </c>
      <c r="T35" t="str">
        <f t="shared" si="4"/>
        <v>194/22/G</v>
      </c>
      <c r="U35">
        <v>14</v>
      </c>
      <c r="V35">
        <v>7</v>
      </c>
    </row>
    <row r="36" spans="1:22" x14ac:dyDescent="0.25">
      <c r="A36" t="s">
        <v>467</v>
      </c>
      <c r="B36" t="s">
        <v>449</v>
      </c>
      <c r="C36">
        <v>1859</v>
      </c>
      <c r="D36" t="s">
        <v>461</v>
      </c>
      <c r="E36">
        <v>2.25</v>
      </c>
      <c r="F36">
        <v>3150</v>
      </c>
      <c r="G36" t="s">
        <v>21</v>
      </c>
      <c r="H36">
        <v>155</v>
      </c>
      <c r="I36" t="s">
        <v>28</v>
      </c>
      <c r="J36" s="1">
        <v>44725</v>
      </c>
      <c r="K36">
        <v>48</v>
      </c>
      <c r="L36">
        <v>7</v>
      </c>
      <c r="M36" s="1">
        <v>44930</v>
      </c>
      <c r="N36">
        <f t="shared" si="0"/>
        <v>6.721311475409836</v>
      </c>
      <c r="O36" s="1">
        <f t="shared" si="1"/>
        <v>44725</v>
      </c>
      <c r="P36">
        <v>6</v>
      </c>
      <c r="Q36" s="3">
        <v>15</v>
      </c>
      <c r="R36" s="3">
        <v>7.8</v>
      </c>
      <c r="S36" t="s">
        <v>511</v>
      </c>
      <c r="T36" t="str">
        <f t="shared" si="4"/>
        <v>103/22/G</v>
      </c>
      <c r="U36">
        <v>14</v>
      </c>
      <c r="V36">
        <v>7</v>
      </c>
    </row>
    <row r="37" spans="1:22" x14ac:dyDescent="0.25">
      <c r="A37" t="s">
        <v>467</v>
      </c>
      <c r="B37" t="s">
        <v>449</v>
      </c>
      <c r="C37">
        <v>1859</v>
      </c>
      <c r="D37" t="s">
        <v>461</v>
      </c>
      <c r="E37">
        <v>2.25</v>
      </c>
      <c r="F37">
        <v>3150</v>
      </c>
      <c r="G37" t="s">
        <v>22</v>
      </c>
      <c r="H37">
        <v>71</v>
      </c>
      <c r="I37" t="s">
        <v>28</v>
      </c>
      <c r="J37" s="1">
        <v>44725</v>
      </c>
      <c r="K37">
        <v>48</v>
      </c>
      <c r="L37">
        <v>7</v>
      </c>
      <c r="M37" s="1">
        <v>44930</v>
      </c>
      <c r="N37">
        <f t="shared" si="0"/>
        <v>6.721311475409836</v>
      </c>
      <c r="O37" s="1">
        <f t="shared" si="1"/>
        <v>44725</v>
      </c>
      <c r="P37">
        <v>6</v>
      </c>
      <c r="Q37" s="3">
        <v>15</v>
      </c>
      <c r="R37" s="3">
        <v>7.8</v>
      </c>
      <c r="S37" t="s">
        <v>512</v>
      </c>
      <c r="T37" t="str">
        <f t="shared" si="4"/>
        <v>104/22/G</v>
      </c>
      <c r="U37">
        <v>14</v>
      </c>
      <c r="V37">
        <v>7</v>
      </c>
    </row>
    <row r="38" spans="1:22" x14ac:dyDescent="0.25">
      <c r="A38" t="s">
        <v>467</v>
      </c>
      <c r="B38" t="s">
        <v>449</v>
      </c>
      <c r="C38">
        <v>1859</v>
      </c>
      <c r="D38" t="s">
        <v>461</v>
      </c>
      <c r="E38">
        <v>2.25</v>
      </c>
      <c r="F38">
        <v>3150</v>
      </c>
      <c r="G38" t="s">
        <v>26</v>
      </c>
      <c r="H38">
        <v>79</v>
      </c>
      <c r="I38" t="s">
        <v>28</v>
      </c>
      <c r="J38" s="1">
        <v>44725</v>
      </c>
      <c r="K38">
        <v>48</v>
      </c>
      <c r="L38">
        <v>7</v>
      </c>
      <c r="M38" s="1">
        <v>44930</v>
      </c>
      <c r="N38">
        <f t="shared" si="0"/>
        <v>6.721311475409836</v>
      </c>
      <c r="O38" s="1">
        <f t="shared" si="1"/>
        <v>44725</v>
      </c>
      <c r="P38">
        <v>6</v>
      </c>
      <c r="Q38" s="3">
        <v>15</v>
      </c>
      <c r="R38" s="3">
        <v>7.8</v>
      </c>
      <c r="S38" t="s">
        <v>513</v>
      </c>
      <c r="T38" t="str">
        <f t="shared" si="4"/>
        <v>66/22/G</v>
      </c>
      <c r="U38">
        <v>14</v>
      </c>
      <c r="V38">
        <v>7</v>
      </c>
    </row>
    <row r="39" spans="1:22" x14ac:dyDescent="0.25">
      <c r="A39" t="s">
        <v>467</v>
      </c>
      <c r="B39" t="s">
        <v>449</v>
      </c>
      <c r="C39">
        <v>1859</v>
      </c>
      <c r="D39" t="s">
        <v>461</v>
      </c>
      <c r="E39">
        <v>2.25</v>
      </c>
      <c r="F39">
        <v>3150</v>
      </c>
      <c r="G39" t="s">
        <v>23</v>
      </c>
      <c r="H39">
        <v>70</v>
      </c>
      <c r="I39" t="s">
        <v>28</v>
      </c>
      <c r="J39" s="1">
        <v>44725</v>
      </c>
      <c r="K39">
        <v>48</v>
      </c>
      <c r="L39">
        <v>7</v>
      </c>
      <c r="M39" s="1">
        <v>44930</v>
      </c>
      <c r="N39">
        <f t="shared" si="0"/>
        <v>6.721311475409836</v>
      </c>
      <c r="O39" s="1">
        <f t="shared" si="1"/>
        <v>44725</v>
      </c>
      <c r="P39">
        <v>6</v>
      </c>
      <c r="Q39" s="3">
        <v>15</v>
      </c>
      <c r="R39" s="3">
        <v>7.8</v>
      </c>
      <c r="S39" t="s">
        <v>514</v>
      </c>
      <c r="T39" t="str">
        <f t="shared" si="4"/>
        <v>105/22/G</v>
      </c>
      <c r="U39">
        <v>14</v>
      </c>
      <c r="V39">
        <v>7</v>
      </c>
    </row>
    <row r="40" spans="1:22" x14ac:dyDescent="0.25">
      <c r="A40" t="s">
        <v>467</v>
      </c>
      <c r="B40" t="s">
        <v>449</v>
      </c>
      <c r="C40">
        <v>1859</v>
      </c>
      <c r="D40" t="s">
        <v>461</v>
      </c>
      <c r="E40">
        <v>2.25</v>
      </c>
      <c r="F40">
        <v>3150</v>
      </c>
      <c r="G40" t="s">
        <v>24</v>
      </c>
      <c r="H40">
        <v>81</v>
      </c>
      <c r="I40" t="s">
        <v>28</v>
      </c>
      <c r="J40" s="1">
        <v>44725</v>
      </c>
      <c r="K40">
        <v>48</v>
      </c>
      <c r="L40">
        <v>7</v>
      </c>
      <c r="M40" s="1">
        <v>44930</v>
      </c>
      <c r="N40">
        <f t="shared" si="0"/>
        <v>6.721311475409836</v>
      </c>
      <c r="O40" s="1">
        <f t="shared" si="1"/>
        <v>44725</v>
      </c>
      <c r="P40">
        <v>6</v>
      </c>
      <c r="Q40" s="3">
        <v>15</v>
      </c>
      <c r="R40" s="3">
        <v>7.8</v>
      </c>
      <c r="S40" t="s">
        <v>515</v>
      </c>
      <c r="T40" t="str">
        <f t="shared" si="4"/>
        <v>465/21/G</v>
      </c>
      <c r="U40">
        <v>14</v>
      </c>
      <c r="V40">
        <v>7</v>
      </c>
    </row>
    <row r="41" spans="1:22" x14ac:dyDescent="0.25">
      <c r="A41" t="s">
        <v>467</v>
      </c>
      <c r="B41" t="s">
        <v>449</v>
      </c>
      <c r="C41">
        <v>1859</v>
      </c>
      <c r="D41" t="s">
        <v>461</v>
      </c>
      <c r="E41">
        <v>2.25</v>
      </c>
      <c r="F41">
        <v>3150</v>
      </c>
      <c r="G41" t="s">
        <v>27</v>
      </c>
      <c r="H41">
        <v>50</v>
      </c>
      <c r="I41" t="s">
        <v>28</v>
      </c>
      <c r="J41" s="1">
        <v>44725</v>
      </c>
      <c r="K41">
        <v>48</v>
      </c>
      <c r="L41">
        <v>7</v>
      </c>
      <c r="M41" s="1">
        <v>44930</v>
      </c>
      <c r="N41">
        <f t="shared" si="0"/>
        <v>6.721311475409836</v>
      </c>
      <c r="O41" s="1">
        <f t="shared" si="1"/>
        <v>44725</v>
      </c>
      <c r="P41">
        <v>6</v>
      </c>
      <c r="Q41" s="3">
        <v>15</v>
      </c>
      <c r="R41" s="3">
        <v>7.8</v>
      </c>
      <c r="S41" t="s">
        <v>516</v>
      </c>
      <c r="T41" t="str">
        <f t="shared" si="4"/>
        <v>459/21/G</v>
      </c>
      <c r="U41">
        <v>14</v>
      </c>
      <c r="V41">
        <v>7</v>
      </c>
    </row>
    <row r="42" spans="1:22" x14ac:dyDescent="0.25">
      <c r="A42" t="s">
        <v>467</v>
      </c>
      <c r="B42" t="s">
        <v>449</v>
      </c>
      <c r="C42">
        <v>1859</v>
      </c>
      <c r="D42" t="s">
        <v>461</v>
      </c>
      <c r="E42">
        <v>2.25</v>
      </c>
      <c r="F42">
        <v>3150</v>
      </c>
      <c r="G42" t="s">
        <v>25</v>
      </c>
      <c r="H42">
        <v>235</v>
      </c>
      <c r="I42" t="s">
        <v>28</v>
      </c>
      <c r="J42" s="1">
        <v>44725</v>
      </c>
      <c r="K42">
        <v>48</v>
      </c>
      <c r="L42">
        <v>7</v>
      </c>
      <c r="M42" s="1">
        <v>44930</v>
      </c>
      <c r="N42">
        <f t="shared" si="0"/>
        <v>6.721311475409836</v>
      </c>
      <c r="O42" s="1">
        <f t="shared" si="1"/>
        <v>44725</v>
      </c>
      <c r="P42">
        <v>6</v>
      </c>
      <c r="Q42" s="3">
        <v>15</v>
      </c>
      <c r="R42" s="3">
        <v>7.8</v>
      </c>
      <c r="S42" t="s">
        <v>503</v>
      </c>
      <c r="T42" t="str">
        <f t="shared" si="4"/>
        <v>107/22/G</v>
      </c>
      <c r="U42">
        <v>14</v>
      </c>
      <c r="V42">
        <v>7</v>
      </c>
    </row>
    <row r="43" spans="1:22" x14ac:dyDescent="0.25">
      <c r="A43" t="s">
        <v>467</v>
      </c>
      <c r="B43" t="s">
        <v>420</v>
      </c>
      <c r="C43">
        <v>2200</v>
      </c>
      <c r="D43" t="s">
        <v>461</v>
      </c>
      <c r="E43">
        <v>2.25</v>
      </c>
      <c r="F43">
        <v>3150</v>
      </c>
      <c r="G43" t="s">
        <v>421</v>
      </c>
      <c r="H43">
        <v>177</v>
      </c>
      <c r="I43" t="s">
        <v>11</v>
      </c>
      <c r="J43" s="1">
        <v>44847</v>
      </c>
      <c r="K43">
        <v>60</v>
      </c>
      <c r="L43">
        <v>54</v>
      </c>
      <c r="M43" s="1">
        <v>45159</v>
      </c>
      <c r="N43">
        <f t="shared" si="0"/>
        <v>10.229508196721312</v>
      </c>
      <c r="O43" s="1">
        <f t="shared" si="1"/>
        <v>43512</v>
      </c>
      <c r="P43">
        <v>6</v>
      </c>
      <c r="Q43" s="3">
        <v>13</v>
      </c>
      <c r="R43" s="3">
        <v>7.8</v>
      </c>
      <c r="S43" t="s">
        <v>517</v>
      </c>
      <c r="T43" t="s">
        <v>518</v>
      </c>
      <c r="U43">
        <v>14</v>
      </c>
      <c r="V43">
        <v>7</v>
      </c>
    </row>
    <row r="44" spans="1:22" x14ac:dyDescent="0.25">
      <c r="A44" t="s">
        <v>467</v>
      </c>
      <c r="B44" t="s">
        <v>420</v>
      </c>
      <c r="C44">
        <v>2200</v>
      </c>
      <c r="D44" t="s">
        <v>461</v>
      </c>
      <c r="E44">
        <v>2.25</v>
      </c>
      <c r="F44">
        <v>3150</v>
      </c>
      <c r="G44" t="s">
        <v>422</v>
      </c>
      <c r="H44">
        <v>8</v>
      </c>
      <c r="I44" t="s">
        <v>11</v>
      </c>
      <c r="J44" s="1">
        <v>43972</v>
      </c>
      <c r="K44">
        <v>60</v>
      </c>
      <c r="L44">
        <v>66</v>
      </c>
      <c r="M44" s="1">
        <v>45160</v>
      </c>
      <c r="N44">
        <f t="shared" si="0"/>
        <v>38.950819672131146</v>
      </c>
      <c r="O44" s="1">
        <f t="shared" si="1"/>
        <v>43147</v>
      </c>
      <c r="P44">
        <v>6</v>
      </c>
      <c r="Q44" s="3">
        <v>13</v>
      </c>
      <c r="R44" s="3">
        <v>7.8</v>
      </c>
      <c r="S44" t="s">
        <v>519</v>
      </c>
      <c r="T44" t="str">
        <f>S43</f>
        <v>351/22/G</v>
      </c>
      <c r="U44">
        <v>14</v>
      </c>
      <c r="V44">
        <v>7</v>
      </c>
    </row>
    <row r="45" spans="1:22" x14ac:dyDescent="0.25">
      <c r="A45" t="s">
        <v>467</v>
      </c>
      <c r="B45" t="s">
        <v>420</v>
      </c>
      <c r="C45">
        <v>2200</v>
      </c>
      <c r="D45" t="s">
        <v>461</v>
      </c>
      <c r="E45">
        <v>2.25</v>
      </c>
      <c r="F45">
        <v>3150</v>
      </c>
      <c r="G45" t="s">
        <v>423</v>
      </c>
      <c r="H45">
        <v>177</v>
      </c>
      <c r="I45" t="s">
        <v>11</v>
      </c>
      <c r="J45" s="1">
        <v>44428</v>
      </c>
      <c r="K45">
        <v>60</v>
      </c>
      <c r="L45">
        <v>38</v>
      </c>
      <c r="M45" s="1">
        <v>45161</v>
      </c>
      <c r="N45">
        <f t="shared" si="0"/>
        <v>24.032786885245901</v>
      </c>
      <c r="O45" s="1">
        <f t="shared" si="1"/>
        <v>44002</v>
      </c>
      <c r="P45">
        <v>6</v>
      </c>
      <c r="Q45" s="3">
        <v>13</v>
      </c>
      <c r="R45" s="3">
        <v>7.8</v>
      </c>
      <c r="S45" t="s">
        <v>520</v>
      </c>
      <c r="T45" t="str">
        <f t="shared" ref="T45:T55" si="5">S44</f>
        <v>337/21/G</v>
      </c>
      <c r="U45">
        <v>14</v>
      </c>
      <c r="V45">
        <v>7</v>
      </c>
    </row>
    <row r="46" spans="1:22" x14ac:dyDescent="0.25">
      <c r="A46" t="s">
        <v>467</v>
      </c>
      <c r="B46" t="s">
        <v>420</v>
      </c>
      <c r="C46">
        <v>2200</v>
      </c>
      <c r="D46" t="s">
        <v>461</v>
      </c>
      <c r="E46">
        <v>2.25</v>
      </c>
      <c r="F46">
        <v>3150</v>
      </c>
      <c r="G46" t="s">
        <v>6</v>
      </c>
      <c r="H46">
        <v>169</v>
      </c>
      <c r="I46" t="s">
        <v>42</v>
      </c>
      <c r="J46" s="1">
        <v>44977</v>
      </c>
      <c r="K46">
        <v>48</v>
      </c>
      <c r="L46">
        <v>6</v>
      </c>
      <c r="M46" s="1">
        <v>45162</v>
      </c>
      <c r="N46">
        <f t="shared" si="0"/>
        <v>6.0655737704918034</v>
      </c>
      <c r="O46" s="1">
        <f t="shared" si="1"/>
        <v>44977</v>
      </c>
      <c r="P46">
        <v>6</v>
      </c>
      <c r="Q46" s="3">
        <v>13</v>
      </c>
      <c r="R46" s="3">
        <v>7.8</v>
      </c>
      <c r="S46" t="s">
        <v>521</v>
      </c>
      <c r="T46" t="str">
        <f t="shared" si="5"/>
        <v>50/23/G</v>
      </c>
      <c r="U46">
        <v>14</v>
      </c>
      <c r="V46">
        <v>7</v>
      </c>
    </row>
    <row r="47" spans="1:22" x14ac:dyDescent="0.25">
      <c r="A47" t="s">
        <v>467</v>
      </c>
      <c r="B47" t="s">
        <v>420</v>
      </c>
      <c r="C47">
        <v>2200</v>
      </c>
      <c r="D47" t="s">
        <v>461</v>
      </c>
      <c r="E47">
        <v>2.25</v>
      </c>
      <c r="F47">
        <v>3150</v>
      </c>
      <c r="G47" t="s">
        <v>3</v>
      </c>
      <c r="H47">
        <v>186</v>
      </c>
      <c r="I47" t="s">
        <v>42</v>
      </c>
      <c r="J47" s="1">
        <v>44588</v>
      </c>
      <c r="K47">
        <v>48</v>
      </c>
      <c r="L47">
        <v>43</v>
      </c>
      <c r="M47" s="1">
        <v>45163</v>
      </c>
      <c r="N47">
        <f t="shared" si="0"/>
        <v>18.852459016393443</v>
      </c>
      <c r="O47" s="1">
        <f t="shared" si="1"/>
        <v>43851.5</v>
      </c>
      <c r="P47">
        <v>6</v>
      </c>
      <c r="Q47" s="3">
        <v>13</v>
      </c>
      <c r="R47" s="3">
        <v>7.8</v>
      </c>
      <c r="S47" t="s">
        <v>522</v>
      </c>
      <c r="T47" t="str">
        <f t="shared" si="5"/>
        <v>52/23/G</v>
      </c>
      <c r="U47">
        <v>14</v>
      </c>
      <c r="V47">
        <v>7</v>
      </c>
    </row>
    <row r="48" spans="1:22" x14ac:dyDescent="0.25">
      <c r="A48" t="s">
        <v>467</v>
      </c>
      <c r="B48" t="s">
        <v>420</v>
      </c>
      <c r="C48">
        <v>2200</v>
      </c>
      <c r="D48" t="s">
        <v>461</v>
      </c>
      <c r="E48">
        <v>2.25</v>
      </c>
      <c r="F48">
        <v>3150</v>
      </c>
      <c r="G48" t="s">
        <v>424</v>
      </c>
      <c r="H48">
        <v>129</v>
      </c>
      <c r="I48" t="s">
        <v>28</v>
      </c>
      <c r="J48" s="1">
        <v>44287</v>
      </c>
      <c r="K48">
        <v>48</v>
      </c>
      <c r="L48">
        <v>28</v>
      </c>
      <c r="M48" s="1">
        <v>45164</v>
      </c>
      <c r="N48">
        <f t="shared" si="0"/>
        <v>28.754098360655739</v>
      </c>
      <c r="O48" s="1">
        <f t="shared" si="1"/>
        <v>44287</v>
      </c>
      <c r="P48">
        <v>6</v>
      </c>
      <c r="Q48" s="3">
        <v>13</v>
      </c>
      <c r="R48" s="3">
        <v>7.8</v>
      </c>
      <c r="S48" t="s">
        <v>523</v>
      </c>
      <c r="T48" t="str">
        <f t="shared" si="5"/>
        <v>27/22/G</v>
      </c>
      <c r="U48">
        <v>14</v>
      </c>
      <c r="V48">
        <v>7</v>
      </c>
    </row>
    <row r="49" spans="1:22" x14ac:dyDescent="0.25">
      <c r="A49" t="s">
        <v>467</v>
      </c>
      <c r="B49" t="s">
        <v>420</v>
      </c>
      <c r="C49">
        <v>2200</v>
      </c>
      <c r="D49" t="s">
        <v>461</v>
      </c>
      <c r="E49">
        <v>2.25</v>
      </c>
      <c r="F49">
        <v>3150</v>
      </c>
      <c r="G49" t="s">
        <v>425</v>
      </c>
      <c r="H49">
        <v>171</v>
      </c>
      <c r="I49" t="s">
        <v>28</v>
      </c>
      <c r="J49" s="1">
        <v>44722</v>
      </c>
      <c r="K49">
        <v>48</v>
      </c>
      <c r="L49">
        <v>52</v>
      </c>
      <c r="M49" s="1">
        <v>45165</v>
      </c>
      <c r="N49">
        <f t="shared" si="0"/>
        <v>14.524590163934427</v>
      </c>
      <c r="O49" s="1">
        <f t="shared" si="1"/>
        <v>43579</v>
      </c>
      <c r="P49">
        <v>6</v>
      </c>
      <c r="Q49" s="3">
        <v>13</v>
      </c>
      <c r="R49" s="3">
        <v>7.8</v>
      </c>
      <c r="S49" t="s">
        <v>524</v>
      </c>
      <c r="T49" t="str">
        <f t="shared" si="5"/>
        <v>189/22/G</v>
      </c>
      <c r="U49">
        <v>14</v>
      </c>
      <c r="V49">
        <v>7</v>
      </c>
    </row>
    <row r="50" spans="1:22" x14ac:dyDescent="0.25">
      <c r="A50" t="s">
        <v>467</v>
      </c>
      <c r="B50" t="s">
        <v>420</v>
      </c>
      <c r="C50">
        <v>2200</v>
      </c>
      <c r="D50" t="s">
        <v>461</v>
      </c>
      <c r="E50">
        <v>2.25</v>
      </c>
      <c r="F50">
        <v>3150</v>
      </c>
      <c r="G50" t="s">
        <v>426</v>
      </c>
      <c r="H50">
        <v>89</v>
      </c>
      <c r="I50" t="s">
        <v>11</v>
      </c>
      <c r="J50" s="1">
        <v>43972</v>
      </c>
      <c r="K50">
        <v>60</v>
      </c>
      <c r="L50">
        <v>44</v>
      </c>
      <c r="M50" s="1">
        <v>45166</v>
      </c>
      <c r="N50">
        <f t="shared" si="0"/>
        <v>39.147540983606561</v>
      </c>
      <c r="O50" s="1">
        <f t="shared" si="1"/>
        <v>43824</v>
      </c>
      <c r="P50">
        <v>6</v>
      </c>
      <c r="Q50" s="3">
        <v>13</v>
      </c>
      <c r="R50" s="3">
        <v>7.8</v>
      </c>
      <c r="S50" t="s">
        <v>525</v>
      </c>
      <c r="T50" t="str">
        <f t="shared" si="5"/>
        <v>193/22/G</v>
      </c>
      <c r="U50">
        <v>14</v>
      </c>
      <c r="V50">
        <v>7</v>
      </c>
    </row>
    <row r="51" spans="1:22" x14ac:dyDescent="0.25">
      <c r="A51" t="s">
        <v>467</v>
      </c>
      <c r="B51" t="s">
        <v>420</v>
      </c>
      <c r="C51">
        <v>2200</v>
      </c>
      <c r="D51" t="s">
        <v>461</v>
      </c>
      <c r="E51">
        <v>2.25</v>
      </c>
      <c r="F51">
        <v>3150</v>
      </c>
      <c r="G51" t="s">
        <v>427</v>
      </c>
      <c r="H51">
        <v>243</v>
      </c>
      <c r="I51" t="s">
        <v>11</v>
      </c>
      <c r="J51" s="1">
        <v>43972</v>
      </c>
      <c r="K51">
        <v>60</v>
      </c>
      <c r="L51">
        <v>49</v>
      </c>
      <c r="M51" s="1">
        <v>45167</v>
      </c>
      <c r="N51">
        <f t="shared" si="0"/>
        <v>39.180327868852459</v>
      </c>
      <c r="O51" s="1">
        <f t="shared" si="1"/>
        <v>43672.5</v>
      </c>
      <c r="P51">
        <v>6</v>
      </c>
      <c r="Q51" s="3">
        <v>13</v>
      </c>
      <c r="R51" s="3">
        <v>7.8</v>
      </c>
      <c r="S51" t="s">
        <v>526</v>
      </c>
      <c r="T51" t="str">
        <f t="shared" si="5"/>
        <v>235/20/G</v>
      </c>
      <c r="U51">
        <v>14</v>
      </c>
      <c r="V51">
        <v>7</v>
      </c>
    </row>
    <row r="52" spans="1:22" x14ac:dyDescent="0.25">
      <c r="A52" t="s">
        <v>467</v>
      </c>
      <c r="B52" t="s">
        <v>420</v>
      </c>
      <c r="C52">
        <v>2200</v>
      </c>
      <c r="D52" t="s">
        <v>461</v>
      </c>
      <c r="E52">
        <v>2.25</v>
      </c>
      <c r="F52">
        <v>3150</v>
      </c>
      <c r="G52" t="s">
        <v>428</v>
      </c>
      <c r="H52">
        <v>245</v>
      </c>
      <c r="I52" t="s">
        <v>11</v>
      </c>
      <c r="J52" s="1">
        <v>43972</v>
      </c>
      <c r="K52">
        <v>60</v>
      </c>
      <c r="L52">
        <v>49</v>
      </c>
      <c r="M52" s="1">
        <v>45168</v>
      </c>
      <c r="N52">
        <f t="shared" si="0"/>
        <v>39.213114754098363</v>
      </c>
      <c r="O52" s="1">
        <f t="shared" si="1"/>
        <v>43673.5</v>
      </c>
      <c r="P52">
        <v>6</v>
      </c>
      <c r="Q52" s="3">
        <v>13</v>
      </c>
      <c r="R52" s="3">
        <v>7.8</v>
      </c>
      <c r="S52" t="s">
        <v>527</v>
      </c>
      <c r="T52" t="str">
        <f t="shared" si="5"/>
        <v>199/20/G</v>
      </c>
      <c r="U52">
        <v>14</v>
      </c>
      <c r="V52">
        <v>7</v>
      </c>
    </row>
    <row r="53" spans="1:22" x14ac:dyDescent="0.25">
      <c r="A53" t="s">
        <v>467</v>
      </c>
      <c r="B53" t="s">
        <v>420</v>
      </c>
      <c r="C53">
        <v>2200</v>
      </c>
      <c r="D53" t="s">
        <v>461</v>
      </c>
      <c r="E53">
        <v>2.25</v>
      </c>
      <c r="F53">
        <v>3150</v>
      </c>
      <c r="G53" t="s">
        <v>429</v>
      </c>
      <c r="H53">
        <v>252</v>
      </c>
      <c r="I53" t="s">
        <v>11</v>
      </c>
      <c r="J53" s="1">
        <v>43972</v>
      </c>
      <c r="K53">
        <v>60</v>
      </c>
      <c r="L53">
        <v>49</v>
      </c>
      <c r="M53" s="1">
        <v>45169</v>
      </c>
      <c r="N53">
        <f t="shared" si="0"/>
        <v>39.245901639344261</v>
      </c>
      <c r="O53" s="1">
        <f t="shared" si="1"/>
        <v>43674.5</v>
      </c>
      <c r="P53">
        <v>6</v>
      </c>
      <c r="Q53" s="3">
        <v>13</v>
      </c>
      <c r="R53" s="3">
        <v>7.8</v>
      </c>
      <c r="S53" t="s">
        <v>528</v>
      </c>
      <c r="T53" t="str">
        <f t="shared" si="5"/>
        <v>194/20/G</v>
      </c>
      <c r="U53">
        <v>14</v>
      </c>
      <c r="V53">
        <v>7</v>
      </c>
    </row>
    <row r="54" spans="1:22" x14ac:dyDescent="0.25">
      <c r="A54" t="s">
        <v>467</v>
      </c>
      <c r="B54" t="s">
        <v>420</v>
      </c>
      <c r="C54">
        <v>2200</v>
      </c>
      <c r="D54" t="s">
        <v>461</v>
      </c>
      <c r="E54">
        <v>2.25</v>
      </c>
      <c r="F54">
        <v>3150</v>
      </c>
      <c r="G54" t="s">
        <v>430</v>
      </c>
      <c r="H54">
        <v>180</v>
      </c>
      <c r="I54" t="s">
        <v>11</v>
      </c>
      <c r="J54" s="1">
        <v>44025</v>
      </c>
      <c r="K54">
        <v>60</v>
      </c>
      <c r="L54">
        <v>53</v>
      </c>
      <c r="M54" s="1">
        <v>45170</v>
      </c>
      <c r="N54">
        <f t="shared" si="0"/>
        <v>37.540983606557376</v>
      </c>
      <c r="O54" s="1">
        <f t="shared" si="1"/>
        <v>43553.5</v>
      </c>
      <c r="P54">
        <v>6</v>
      </c>
      <c r="Q54" s="3">
        <v>13</v>
      </c>
      <c r="R54" s="3">
        <v>7.8</v>
      </c>
      <c r="S54" t="s">
        <v>529</v>
      </c>
      <c r="T54" t="str">
        <f t="shared" si="5"/>
        <v>317/20/G</v>
      </c>
      <c r="U54">
        <v>14</v>
      </c>
      <c r="V54">
        <v>7</v>
      </c>
    </row>
    <row r="55" spans="1:22" x14ac:dyDescent="0.25">
      <c r="A55" t="s">
        <v>467</v>
      </c>
      <c r="B55" t="s">
        <v>420</v>
      </c>
      <c r="C55">
        <v>2200</v>
      </c>
      <c r="D55" t="s">
        <v>461</v>
      </c>
      <c r="E55">
        <v>2.25</v>
      </c>
      <c r="F55">
        <v>3150</v>
      </c>
      <c r="G55" t="s">
        <v>431</v>
      </c>
      <c r="H55">
        <v>174</v>
      </c>
      <c r="I55" t="s">
        <v>11</v>
      </c>
      <c r="J55" s="1">
        <v>44119</v>
      </c>
      <c r="K55">
        <v>60</v>
      </c>
      <c r="L55">
        <v>54</v>
      </c>
      <c r="M55" s="1">
        <v>45171</v>
      </c>
      <c r="N55">
        <f t="shared" si="0"/>
        <v>34.491803278688522</v>
      </c>
      <c r="O55" s="1">
        <f t="shared" si="1"/>
        <v>43524</v>
      </c>
      <c r="P55">
        <v>6</v>
      </c>
      <c r="Q55" s="3">
        <v>13</v>
      </c>
      <c r="R55" s="3">
        <v>7.8</v>
      </c>
      <c r="S55" t="s">
        <v>518</v>
      </c>
      <c r="T55" t="str">
        <f t="shared" si="5"/>
        <v>475/20/G</v>
      </c>
      <c r="U55">
        <v>14</v>
      </c>
      <c r="V55">
        <v>7</v>
      </c>
    </row>
    <row r="56" spans="1:22" x14ac:dyDescent="0.25">
      <c r="A56" t="s">
        <v>467</v>
      </c>
      <c r="B56" t="s">
        <v>67</v>
      </c>
      <c r="C56">
        <v>2434</v>
      </c>
      <c r="D56" t="s">
        <v>461</v>
      </c>
      <c r="E56">
        <v>2.25</v>
      </c>
      <c r="F56">
        <v>3150</v>
      </c>
      <c r="G56" t="s">
        <v>68</v>
      </c>
      <c r="H56">
        <v>265</v>
      </c>
      <c r="I56" t="s">
        <v>11</v>
      </c>
      <c r="J56" s="1">
        <v>43066</v>
      </c>
      <c r="K56">
        <v>48</v>
      </c>
      <c r="L56">
        <v>60</v>
      </c>
      <c r="M56" s="1">
        <v>44881</v>
      </c>
      <c r="N56">
        <f t="shared" si="0"/>
        <v>59.508196721311478</v>
      </c>
      <c r="O56" s="1">
        <f t="shared" si="1"/>
        <v>43066</v>
      </c>
      <c r="P56">
        <v>6</v>
      </c>
      <c r="Q56" s="3">
        <v>11</v>
      </c>
      <c r="R56" s="3">
        <v>7.8</v>
      </c>
      <c r="S56" t="s">
        <v>684</v>
      </c>
      <c r="T56" t="str">
        <f>S66</f>
        <v>652/17/G</v>
      </c>
      <c r="U56">
        <v>14</v>
      </c>
      <c r="V56">
        <v>7</v>
      </c>
    </row>
    <row r="57" spans="1:22" x14ac:dyDescent="0.25">
      <c r="A57" t="s">
        <v>467</v>
      </c>
      <c r="B57" t="s">
        <v>67</v>
      </c>
      <c r="C57">
        <v>2434</v>
      </c>
      <c r="D57" t="s">
        <v>461</v>
      </c>
      <c r="E57">
        <v>2.25</v>
      </c>
      <c r="F57">
        <v>3150</v>
      </c>
      <c r="G57" t="s">
        <v>69</v>
      </c>
      <c r="H57">
        <v>245</v>
      </c>
      <c r="I57" t="s">
        <v>11</v>
      </c>
      <c r="J57" s="1">
        <v>43066</v>
      </c>
      <c r="K57">
        <v>48</v>
      </c>
      <c r="L57">
        <v>60</v>
      </c>
      <c r="M57" s="1">
        <v>44881</v>
      </c>
      <c r="N57">
        <f t="shared" si="0"/>
        <v>59.508196721311478</v>
      </c>
      <c r="O57" s="1">
        <f t="shared" si="1"/>
        <v>43066</v>
      </c>
      <c r="P57">
        <v>6</v>
      </c>
      <c r="Q57" s="3">
        <v>11</v>
      </c>
      <c r="R57" s="3">
        <v>7.8</v>
      </c>
      <c r="S57" t="s">
        <v>685</v>
      </c>
      <c r="T57" t="str">
        <f>S56</f>
        <v>651/17/G</v>
      </c>
      <c r="U57">
        <v>14</v>
      </c>
      <c r="V57">
        <v>7</v>
      </c>
    </row>
    <row r="58" spans="1:22" x14ac:dyDescent="0.25">
      <c r="A58" t="s">
        <v>467</v>
      </c>
      <c r="B58" t="s">
        <v>67</v>
      </c>
      <c r="C58">
        <v>2434</v>
      </c>
      <c r="D58" t="s">
        <v>461</v>
      </c>
      <c r="E58">
        <v>2.25</v>
      </c>
      <c r="F58">
        <v>3150</v>
      </c>
      <c r="G58" t="s">
        <v>70</v>
      </c>
      <c r="H58">
        <v>250</v>
      </c>
      <c r="I58" t="s">
        <v>11</v>
      </c>
      <c r="J58" s="1">
        <v>44089</v>
      </c>
      <c r="K58">
        <v>48</v>
      </c>
      <c r="L58">
        <v>53</v>
      </c>
      <c r="M58" s="1">
        <v>44881</v>
      </c>
      <c r="N58">
        <f t="shared" si="0"/>
        <v>25.967213114754099</v>
      </c>
      <c r="O58" s="1">
        <f t="shared" si="1"/>
        <v>43264.5</v>
      </c>
      <c r="P58">
        <v>6</v>
      </c>
      <c r="Q58" s="3">
        <v>11</v>
      </c>
      <c r="R58" s="3">
        <v>7.8</v>
      </c>
      <c r="S58" t="s">
        <v>686</v>
      </c>
      <c r="T58" t="str">
        <f t="shared" ref="T58:T66" si="6">S57</f>
        <v>418/20/G</v>
      </c>
      <c r="U58">
        <v>14</v>
      </c>
      <c r="V58">
        <v>7</v>
      </c>
    </row>
    <row r="59" spans="1:22" x14ac:dyDescent="0.25">
      <c r="A59" t="s">
        <v>467</v>
      </c>
      <c r="B59" t="s">
        <v>67</v>
      </c>
      <c r="C59">
        <v>2434</v>
      </c>
      <c r="D59" t="s">
        <v>461</v>
      </c>
      <c r="E59">
        <v>2.25</v>
      </c>
      <c r="F59">
        <v>3150</v>
      </c>
      <c r="G59" t="s">
        <v>71</v>
      </c>
      <c r="H59">
        <v>248</v>
      </c>
      <c r="I59" t="s">
        <v>11</v>
      </c>
      <c r="J59" s="1">
        <v>44089</v>
      </c>
      <c r="K59">
        <v>48</v>
      </c>
      <c r="L59">
        <v>53</v>
      </c>
      <c r="M59" s="1">
        <v>44881</v>
      </c>
      <c r="N59">
        <f t="shared" si="0"/>
        <v>25.967213114754099</v>
      </c>
      <c r="O59" s="1">
        <f t="shared" si="1"/>
        <v>43264.5</v>
      </c>
      <c r="P59">
        <v>6</v>
      </c>
      <c r="Q59" s="3">
        <v>11</v>
      </c>
      <c r="R59" s="3">
        <v>7.8</v>
      </c>
      <c r="S59" t="s">
        <v>687</v>
      </c>
      <c r="T59" t="str">
        <f t="shared" si="6"/>
        <v>419/20/G</v>
      </c>
      <c r="U59">
        <v>14</v>
      </c>
      <c r="V59">
        <v>7</v>
      </c>
    </row>
    <row r="60" spans="1:22" x14ac:dyDescent="0.25">
      <c r="A60" t="s">
        <v>467</v>
      </c>
      <c r="B60" t="s">
        <v>67</v>
      </c>
      <c r="C60">
        <v>2434</v>
      </c>
      <c r="D60" t="s">
        <v>461</v>
      </c>
      <c r="E60">
        <v>2.25</v>
      </c>
      <c r="F60">
        <v>3150</v>
      </c>
      <c r="G60" t="s">
        <v>72</v>
      </c>
      <c r="H60">
        <v>247</v>
      </c>
      <c r="I60" t="s">
        <v>11</v>
      </c>
      <c r="J60" s="1">
        <v>44089</v>
      </c>
      <c r="K60">
        <v>48</v>
      </c>
      <c r="L60">
        <v>48</v>
      </c>
      <c r="M60" s="1">
        <v>44881</v>
      </c>
      <c r="N60">
        <f t="shared" si="0"/>
        <v>25.967213114754099</v>
      </c>
      <c r="O60" s="1">
        <f t="shared" si="1"/>
        <v>43417</v>
      </c>
      <c r="P60">
        <v>6</v>
      </c>
      <c r="Q60" s="3">
        <v>11</v>
      </c>
      <c r="R60" s="3">
        <v>7.8</v>
      </c>
      <c r="S60" t="s">
        <v>688</v>
      </c>
      <c r="T60" t="str">
        <f t="shared" si="6"/>
        <v>421/20/G</v>
      </c>
      <c r="U60">
        <v>14</v>
      </c>
      <c r="V60">
        <v>7</v>
      </c>
    </row>
    <row r="61" spans="1:22" x14ac:dyDescent="0.25">
      <c r="A61" t="s">
        <v>467</v>
      </c>
      <c r="B61" t="s">
        <v>67</v>
      </c>
      <c r="C61">
        <v>2434</v>
      </c>
      <c r="D61" t="s">
        <v>461</v>
      </c>
      <c r="E61">
        <v>2.25</v>
      </c>
      <c r="F61">
        <v>3150</v>
      </c>
      <c r="G61" t="s">
        <v>73</v>
      </c>
      <c r="H61">
        <v>253</v>
      </c>
      <c r="I61" t="s">
        <v>11</v>
      </c>
      <c r="J61" s="1">
        <v>43411</v>
      </c>
      <c r="K61">
        <v>48</v>
      </c>
      <c r="L61">
        <v>48</v>
      </c>
      <c r="M61" s="1">
        <v>44881</v>
      </c>
      <c r="N61">
        <f t="shared" si="0"/>
        <v>48.196721311475407</v>
      </c>
      <c r="O61" s="1">
        <f t="shared" si="1"/>
        <v>43411</v>
      </c>
      <c r="P61">
        <v>6</v>
      </c>
      <c r="Q61" s="3">
        <v>11</v>
      </c>
      <c r="R61" s="3">
        <v>7.8</v>
      </c>
      <c r="S61" t="s">
        <v>689</v>
      </c>
      <c r="T61" t="str">
        <f t="shared" si="6"/>
        <v>383/18/G</v>
      </c>
      <c r="U61">
        <v>14</v>
      </c>
      <c r="V61">
        <v>7</v>
      </c>
    </row>
    <row r="62" spans="1:22" x14ac:dyDescent="0.25">
      <c r="A62" t="s">
        <v>467</v>
      </c>
      <c r="B62" t="s">
        <v>67</v>
      </c>
      <c r="C62">
        <v>2434</v>
      </c>
      <c r="D62" t="s">
        <v>461</v>
      </c>
      <c r="E62">
        <v>2.25</v>
      </c>
      <c r="F62">
        <v>3150</v>
      </c>
      <c r="G62" t="s">
        <v>74</v>
      </c>
      <c r="H62">
        <v>248</v>
      </c>
      <c r="I62" t="s">
        <v>11</v>
      </c>
      <c r="J62" s="1">
        <v>43411</v>
      </c>
      <c r="K62">
        <v>48</v>
      </c>
      <c r="L62">
        <v>48</v>
      </c>
      <c r="M62" s="1">
        <v>44881</v>
      </c>
      <c r="N62">
        <f t="shared" si="0"/>
        <v>48.196721311475407</v>
      </c>
      <c r="O62" s="1">
        <f t="shared" si="1"/>
        <v>43411</v>
      </c>
      <c r="P62">
        <v>6</v>
      </c>
      <c r="Q62" s="3">
        <v>11</v>
      </c>
      <c r="R62" s="3">
        <v>7.8</v>
      </c>
      <c r="S62" t="s">
        <v>690</v>
      </c>
      <c r="T62" t="str">
        <f t="shared" si="6"/>
        <v>419/18/G</v>
      </c>
      <c r="U62">
        <v>14</v>
      </c>
      <c r="V62">
        <v>7</v>
      </c>
    </row>
    <row r="63" spans="1:22" x14ac:dyDescent="0.25">
      <c r="A63" t="s">
        <v>467</v>
      </c>
      <c r="B63" t="s">
        <v>67</v>
      </c>
      <c r="C63">
        <v>2434</v>
      </c>
      <c r="D63" t="s">
        <v>461</v>
      </c>
      <c r="E63">
        <v>2.25</v>
      </c>
      <c r="F63">
        <v>3150</v>
      </c>
      <c r="G63" t="s">
        <v>75</v>
      </c>
      <c r="H63">
        <v>263</v>
      </c>
      <c r="I63" t="s">
        <v>11</v>
      </c>
      <c r="J63" s="1">
        <v>43411</v>
      </c>
      <c r="K63">
        <v>48</v>
      </c>
      <c r="L63">
        <v>48</v>
      </c>
      <c r="M63" s="1">
        <v>44881</v>
      </c>
      <c r="N63">
        <f t="shared" si="0"/>
        <v>48.196721311475407</v>
      </c>
      <c r="O63" s="1">
        <f t="shared" si="1"/>
        <v>43411</v>
      </c>
      <c r="P63">
        <v>6</v>
      </c>
      <c r="Q63" s="3">
        <v>11</v>
      </c>
      <c r="R63" s="3">
        <v>7.8</v>
      </c>
      <c r="S63" t="s">
        <v>691</v>
      </c>
      <c r="T63" t="str">
        <f t="shared" si="6"/>
        <v>405/18/G</v>
      </c>
      <c r="U63">
        <v>14</v>
      </c>
      <c r="V63">
        <v>7</v>
      </c>
    </row>
    <row r="64" spans="1:22" x14ac:dyDescent="0.25">
      <c r="A64" t="s">
        <v>467</v>
      </c>
      <c r="B64" t="s">
        <v>67</v>
      </c>
      <c r="C64">
        <v>2434</v>
      </c>
      <c r="D64" t="s">
        <v>461</v>
      </c>
      <c r="E64">
        <v>2.25</v>
      </c>
      <c r="F64">
        <v>3150</v>
      </c>
      <c r="G64" t="s">
        <v>76</v>
      </c>
      <c r="H64">
        <v>12</v>
      </c>
      <c r="I64" t="s">
        <v>11</v>
      </c>
      <c r="J64" s="1">
        <v>43411</v>
      </c>
      <c r="K64">
        <v>48</v>
      </c>
      <c r="L64">
        <v>50</v>
      </c>
      <c r="M64" s="1">
        <v>44881</v>
      </c>
      <c r="N64">
        <f t="shared" si="0"/>
        <v>48.196721311475407</v>
      </c>
      <c r="O64" s="1">
        <f t="shared" si="1"/>
        <v>43356</v>
      </c>
      <c r="P64">
        <v>6</v>
      </c>
      <c r="Q64" s="3">
        <v>11</v>
      </c>
      <c r="R64" s="3">
        <v>7.8</v>
      </c>
      <c r="S64" t="s">
        <v>692</v>
      </c>
      <c r="T64" t="str">
        <f t="shared" si="6"/>
        <v>464/18/G</v>
      </c>
      <c r="U64">
        <v>14</v>
      </c>
      <c r="V64">
        <v>7</v>
      </c>
    </row>
    <row r="65" spans="1:22" x14ac:dyDescent="0.25">
      <c r="A65" t="s">
        <v>467</v>
      </c>
      <c r="B65" t="s">
        <v>67</v>
      </c>
      <c r="C65">
        <v>2434</v>
      </c>
      <c r="D65" t="s">
        <v>461</v>
      </c>
      <c r="E65">
        <v>2.25</v>
      </c>
      <c r="F65">
        <v>3150</v>
      </c>
      <c r="G65" t="s">
        <v>77</v>
      </c>
      <c r="H65">
        <v>158</v>
      </c>
      <c r="I65" t="s">
        <v>11</v>
      </c>
      <c r="J65" s="1">
        <v>43066</v>
      </c>
      <c r="K65">
        <v>48</v>
      </c>
      <c r="L65">
        <v>60</v>
      </c>
      <c r="M65" s="1">
        <v>44881</v>
      </c>
      <c r="N65">
        <f t="shared" si="0"/>
        <v>59.508196721311478</v>
      </c>
      <c r="O65" s="1">
        <f t="shared" si="1"/>
        <v>43066</v>
      </c>
      <c r="P65">
        <v>6</v>
      </c>
      <c r="Q65" s="3">
        <v>11</v>
      </c>
      <c r="R65" s="3">
        <v>7.8</v>
      </c>
      <c r="S65" t="s">
        <v>693</v>
      </c>
      <c r="T65" t="str">
        <f t="shared" si="6"/>
        <v>165/19/G</v>
      </c>
      <c r="U65">
        <v>14</v>
      </c>
      <c r="V65">
        <v>7</v>
      </c>
    </row>
    <row r="66" spans="1:22" x14ac:dyDescent="0.25">
      <c r="A66" t="s">
        <v>467</v>
      </c>
      <c r="B66" t="s">
        <v>67</v>
      </c>
      <c r="C66">
        <v>2434</v>
      </c>
      <c r="D66" t="s">
        <v>461</v>
      </c>
      <c r="E66">
        <v>2.25</v>
      </c>
      <c r="F66">
        <v>3150</v>
      </c>
      <c r="G66" t="s">
        <v>78</v>
      </c>
      <c r="H66">
        <v>245</v>
      </c>
      <c r="I66" t="s">
        <v>11</v>
      </c>
      <c r="J66" s="1">
        <v>43066</v>
      </c>
      <c r="K66">
        <v>48</v>
      </c>
      <c r="L66">
        <v>60</v>
      </c>
      <c r="M66" s="1">
        <v>44881</v>
      </c>
      <c r="N66">
        <f t="shared" ref="N66:N125" si="7">(M66-J66)/30.5</f>
        <v>59.508196721311478</v>
      </c>
      <c r="O66" s="1">
        <f t="shared" ref="O66:O125" si="8">IF(ABS(L66-N66)&lt;1, J66, M66-L66*30.5)</f>
        <v>43066</v>
      </c>
      <c r="P66">
        <v>6</v>
      </c>
      <c r="Q66" s="3">
        <v>11</v>
      </c>
      <c r="R66" s="3">
        <v>7.8</v>
      </c>
      <c r="S66" t="s">
        <v>694</v>
      </c>
      <c r="T66" t="str">
        <f t="shared" si="6"/>
        <v>654/17/G</v>
      </c>
      <c r="U66">
        <v>14</v>
      </c>
      <c r="V66">
        <v>7</v>
      </c>
    </row>
    <row r="67" spans="1:22" x14ac:dyDescent="0.25">
      <c r="A67" t="s">
        <v>467</v>
      </c>
      <c r="B67" t="s">
        <v>29</v>
      </c>
      <c r="C67">
        <v>2214</v>
      </c>
      <c r="D67" t="s">
        <v>461</v>
      </c>
      <c r="E67">
        <v>2.25</v>
      </c>
      <c r="F67">
        <v>3150</v>
      </c>
      <c r="G67" t="s">
        <v>30</v>
      </c>
      <c r="H67">
        <v>150</v>
      </c>
      <c r="I67" t="s">
        <v>42</v>
      </c>
      <c r="J67" s="1">
        <v>44025</v>
      </c>
      <c r="K67">
        <v>48</v>
      </c>
      <c r="L67">
        <v>31</v>
      </c>
      <c r="M67" s="1">
        <v>44970</v>
      </c>
      <c r="N67">
        <f t="shared" si="7"/>
        <v>30.983606557377048</v>
      </c>
      <c r="O67" s="1">
        <f t="shared" si="8"/>
        <v>44025</v>
      </c>
      <c r="P67">
        <v>6</v>
      </c>
      <c r="Q67" s="3">
        <v>12</v>
      </c>
      <c r="R67" s="3">
        <v>7.8</v>
      </c>
      <c r="S67" t="s">
        <v>530</v>
      </c>
      <c r="T67" t="s">
        <v>531</v>
      </c>
      <c r="U67">
        <v>14</v>
      </c>
      <c r="V67">
        <v>7</v>
      </c>
    </row>
    <row r="68" spans="1:22" x14ac:dyDescent="0.25">
      <c r="A68" t="s">
        <v>467</v>
      </c>
      <c r="B68" t="s">
        <v>29</v>
      </c>
      <c r="C68">
        <v>2214</v>
      </c>
      <c r="D68" t="s">
        <v>461</v>
      </c>
      <c r="E68">
        <v>2.25</v>
      </c>
      <c r="F68">
        <v>3150</v>
      </c>
      <c r="G68" t="s">
        <v>31</v>
      </c>
      <c r="H68">
        <v>251</v>
      </c>
      <c r="I68" t="s">
        <v>42</v>
      </c>
      <c r="J68" s="1">
        <v>44025</v>
      </c>
      <c r="K68">
        <v>48</v>
      </c>
      <c r="L68">
        <v>31</v>
      </c>
      <c r="M68" s="1">
        <v>44970</v>
      </c>
      <c r="N68">
        <f t="shared" si="7"/>
        <v>30.983606557377048</v>
      </c>
      <c r="O68" s="1">
        <f t="shared" si="8"/>
        <v>44025</v>
      </c>
      <c r="P68">
        <v>6</v>
      </c>
      <c r="Q68" s="3">
        <v>12</v>
      </c>
      <c r="R68" s="3">
        <v>7.8</v>
      </c>
      <c r="S68" t="s">
        <v>532</v>
      </c>
      <c r="T68" t="str">
        <f>S67</f>
        <v>318/20/G</v>
      </c>
      <c r="U68">
        <v>14</v>
      </c>
      <c r="V68">
        <v>7</v>
      </c>
    </row>
    <row r="69" spans="1:22" x14ac:dyDescent="0.25">
      <c r="A69" t="s">
        <v>467</v>
      </c>
      <c r="B69" t="s">
        <v>29</v>
      </c>
      <c r="C69">
        <v>2214</v>
      </c>
      <c r="D69" t="s">
        <v>461</v>
      </c>
      <c r="E69">
        <v>2.25</v>
      </c>
      <c r="F69">
        <v>3150</v>
      </c>
      <c r="G69" t="s">
        <v>32</v>
      </c>
      <c r="H69">
        <v>241</v>
      </c>
      <c r="I69" t="s">
        <v>42</v>
      </c>
      <c r="J69" s="1">
        <v>44025</v>
      </c>
      <c r="K69">
        <v>48</v>
      </c>
      <c r="L69">
        <v>31</v>
      </c>
      <c r="M69" s="1">
        <v>44970</v>
      </c>
      <c r="N69">
        <f t="shared" si="7"/>
        <v>30.983606557377048</v>
      </c>
      <c r="O69" s="1">
        <f t="shared" si="8"/>
        <v>44025</v>
      </c>
      <c r="P69">
        <v>6</v>
      </c>
      <c r="Q69" s="3">
        <v>12</v>
      </c>
      <c r="R69" s="3">
        <v>7.8</v>
      </c>
      <c r="S69" t="s">
        <v>533</v>
      </c>
      <c r="T69" t="str">
        <f t="shared" ref="T69:T78" si="9">S68</f>
        <v>264/20/G</v>
      </c>
      <c r="U69">
        <v>14</v>
      </c>
      <c r="V69">
        <v>7</v>
      </c>
    </row>
    <row r="70" spans="1:22" x14ac:dyDescent="0.25">
      <c r="A70" t="s">
        <v>467</v>
      </c>
      <c r="B70" t="s">
        <v>29</v>
      </c>
      <c r="C70">
        <v>2214</v>
      </c>
      <c r="D70" t="s">
        <v>461</v>
      </c>
      <c r="E70">
        <v>2.25</v>
      </c>
      <c r="F70">
        <v>3150</v>
      </c>
      <c r="G70" t="s">
        <v>33</v>
      </c>
      <c r="H70">
        <v>240</v>
      </c>
      <c r="I70" t="s">
        <v>42</v>
      </c>
      <c r="J70" s="1">
        <v>44025</v>
      </c>
      <c r="K70">
        <v>48</v>
      </c>
      <c r="L70">
        <v>31</v>
      </c>
      <c r="M70" s="1">
        <v>44970</v>
      </c>
      <c r="N70">
        <f t="shared" si="7"/>
        <v>30.983606557377048</v>
      </c>
      <c r="O70" s="1">
        <f t="shared" si="8"/>
        <v>44025</v>
      </c>
      <c r="P70">
        <v>6</v>
      </c>
      <c r="Q70" s="3">
        <v>12</v>
      </c>
      <c r="R70" s="3">
        <v>7.8</v>
      </c>
      <c r="S70" t="s">
        <v>534</v>
      </c>
      <c r="T70" t="str">
        <f t="shared" si="9"/>
        <v>262/20/G</v>
      </c>
      <c r="U70">
        <v>14</v>
      </c>
      <c r="V70">
        <v>7</v>
      </c>
    </row>
    <row r="71" spans="1:22" x14ac:dyDescent="0.25">
      <c r="A71" t="s">
        <v>467</v>
      </c>
      <c r="B71" t="s">
        <v>29</v>
      </c>
      <c r="C71">
        <v>2214</v>
      </c>
      <c r="D71" t="s">
        <v>461</v>
      </c>
      <c r="E71">
        <v>2.25</v>
      </c>
      <c r="F71">
        <v>3150</v>
      </c>
      <c r="G71" t="s">
        <v>34</v>
      </c>
      <c r="H71">
        <v>254</v>
      </c>
      <c r="I71" t="s">
        <v>42</v>
      </c>
      <c r="J71" s="1">
        <v>44025</v>
      </c>
      <c r="K71">
        <v>48</v>
      </c>
      <c r="L71">
        <v>31</v>
      </c>
      <c r="M71" s="1">
        <v>44970</v>
      </c>
      <c r="N71">
        <f t="shared" si="7"/>
        <v>30.983606557377048</v>
      </c>
      <c r="O71" s="1">
        <f t="shared" si="8"/>
        <v>44025</v>
      </c>
      <c r="P71">
        <v>6</v>
      </c>
      <c r="Q71" s="3">
        <v>12</v>
      </c>
      <c r="R71" s="3">
        <v>7.8</v>
      </c>
      <c r="S71" t="s">
        <v>535</v>
      </c>
      <c r="T71" t="str">
        <f t="shared" si="9"/>
        <v>258/20/G</v>
      </c>
      <c r="U71">
        <v>14</v>
      </c>
      <c r="V71">
        <v>7</v>
      </c>
    </row>
    <row r="72" spans="1:22" x14ac:dyDescent="0.25">
      <c r="A72" t="s">
        <v>467</v>
      </c>
      <c r="B72" t="s">
        <v>29</v>
      </c>
      <c r="C72">
        <v>2214</v>
      </c>
      <c r="D72" t="s">
        <v>461</v>
      </c>
      <c r="E72">
        <v>2.25</v>
      </c>
      <c r="F72">
        <v>3150</v>
      </c>
      <c r="G72" t="s">
        <v>35</v>
      </c>
      <c r="H72">
        <v>227</v>
      </c>
      <c r="I72" t="s">
        <v>11</v>
      </c>
      <c r="J72" s="1">
        <v>42564</v>
      </c>
      <c r="K72">
        <v>60</v>
      </c>
      <c r="L72">
        <v>79</v>
      </c>
      <c r="M72" s="1">
        <v>44970</v>
      </c>
      <c r="N72">
        <f t="shared" si="7"/>
        <v>78.885245901639351</v>
      </c>
      <c r="O72" s="1">
        <f t="shared" si="8"/>
        <v>42564</v>
      </c>
      <c r="P72">
        <v>6</v>
      </c>
      <c r="Q72" s="3">
        <v>12</v>
      </c>
      <c r="R72" s="3">
        <v>7.8</v>
      </c>
      <c r="S72" t="s">
        <v>536</v>
      </c>
      <c r="T72" t="str">
        <f t="shared" si="9"/>
        <v>271/20/G</v>
      </c>
      <c r="U72">
        <v>14</v>
      </c>
      <c r="V72">
        <v>7</v>
      </c>
    </row>
    <row r="73" spans="1:22" x14ac:dyDescent="0.25">
      <c r="A73" t="s">
        <v>467</v>
      </c>
      <c r="B73" t="s">
        <v>29</v>
      </c>
      <c r="C73">
        <v>2214</v>
      </c>
      <c r="D73" t="s">
        <v>461</v>
      </c>
      <c r="E73">
        <v>2.25</v>
      </c>
      <c r="F73">
        <v>3150</v>
      </c>
      <c r="G73" t="s">
        <v>36</v>
      </c>
      <c r="H73">
        <v>204</v>
      </c>
      <c r="I73" t="s">
        <v>11</v>
      </c>
      <c r="J73" s="1">
        <v>42809</v>
      </c>
      <c r="K73">
        <v>60</v>
      </c>
      <c r="L73">
        <v>71</v>
      </c>
      <c r="M73" s="1">
        <v>44970</v>
      </c>
      <c r="N73">
        <f t="shared" si="7"/>
        <v>70.852459016393439</v>
      </c>
      <c r="O73" s="1">
        <f t="shared" si="8"/>
        <v>42809</v>
      </c>
      <c r="P73">
        <v>6</v>
      </c>
      <c r="Q73" s="3">
        <v>12</v>
      </c>
      <c r="R73" s="3">
        <v>7.8</v>
      </c>
      <c r="S73" t="s">
        <v>537</v>
      </c>
      <c r="T73" t="str">
        <f t="shared" si="9"/>
        <v>134/17/G</v>
      </c>
      <c r="U73">
        <v>14</v>
      </c>
      <c r="V73">
        <v>7</v>
      </c>
    </row>
    <row r="74" spans="1:22" x14ac:dyDescent="0.25">
      <c r="A74" t="s">
        <v>467</v>
      </c>
      <c r="B74" t="s">
        <v>29</v>
      </c>
      <c r="C74">
        <v>2214</v>
      </c>
      <c r="D74" t="s">
        <v>461</v>
      </c>
      <c r="E74">
        <v>2.25</v>
      </c>
      <c r="F74">
        <v>3150</v>
      </c>
      <c r="G74" t="s">
        <v>37</v>
      </c>
      <c r="H74">
        <v>187</v>
      </c>
      <c r="I74" t="s">
        <v>11</v>
      </c>
      <c r="J74" s="1">
        <v>42864</v>
      </c>
      <c r="K74">
        <v>60</v>
      </c>
      <c r="L74">
        <v>69</v>
      </c>
      <c r="M74" s="1">
        <v>44970</v>
      </c>
      <c r="N74">
        <f t="shared" si="7"/>
        <v>69.049180327868854</v>
      </c>
      <c r="O74" s="1">
        <f t="shared" si="8"/>
        <v>42864</v>
      </c>
      <c r="P74">
        <v>6</v>
      </c>
      <c r="Q74" s="3">
        <v>12</v>
      </c>
      <c r="R74" s="3">
        <v>7.8</v>
      </c>
      <c r="S74" t="s">
        <v>538</v>
      </c>
      <c r="T74" t="str">
        <f t="shared" si="9"/>
        <v>238/17/G</v>
      </c>
      <c r="U74">
        <v>14</v>
      </c>
      <c r="V74">
        <v>7</v>
      </c>
    </row>
    <row r="75" spans="1:22" x14ac:dyDescent="0.25">
      <c r="A75" t="s">
        <v>467</v>
      </c>
      <c r="B75" t="s">
        <v>29</v>
      </c>
      <c r="C75">
        <v>2214</v>
      </c>
      <c r="D75" t="s">
        <v>461</v>
      </c>
      <c r="E75">
        <v>2.25</v>
      </c>
      <c r="F75">
        <v>3150</v>
      </c>
      <c r="G75" t="s">
        <v>38</v>
      </c>
      <c r="H75">
        <v>107</v>
      </c>
      <c r="I75" t="s">
        <v>11</v>
      </c>
      <c r="J75" s="1">
        <v>43154</v>
      </c>
      <c r="K75">
        <v>60</v>
      </c>
      <c r="L75">
        <v>60</v>
      </c>
      <c r="M75" s="1">
        <v>44970</v>
      </c>
      <c r="N75">
        <f t="shared" si="7"/>
        <v>59.540983606557376</v>
      </c>
      <c r="O75" s="1">
        <f t="shared" si="8"/>
        <v>43154</v>
      </c>
      <c r="P75">
        <v>6</v>
      </c>
      <c r="Q75" s="3">
        <v>12</v>
      </c>
      <c r="R75" s="3">
        <v>7.8</v>
      </c>
      <c r="S75" t="s">
        <v>539</v>
      </c>
      <c r="T75" t="str">
        <f t="shared" si="9"/>
        <v>87/18/G</v>
      </c>
      <c r="U75">
        <v>14</v>
      </c>
      <c r="V75">
        <v>7</v>
      </c>
    </row>
    <row r="76" spans="1:22" x14ac:dyDescent="0.25">
      <c r="A76" t="s">
        <v>467</v>
      </c>
      <c r="B76" t="s">
        <v>29</v>
      </c>
      <c r="C76">
        <v>2214</v>
      </c>
      <c r="D76" t="s">
        <v>461</v>
      </c>
      <c r="E76">
        <v>2.25</v>
      </c>
      <c r="F76">
        <v>3150</v>
      </c>
      <c r="G76" t="s">
        <v>39</v>
      </c>
      <c r="H76">
        <v>13</v>
      </c>
      <c r="I76" t="s">
        <v>11</v>
      </c>
      <c r="J76" s="1">
        <v>42864</v>
      </c>
      <c r="K76">
        <v>60</v>
      </c>
      <c r="L76">
        <v>69</v>
      </c>
      <c r="M76" s="1">
        <v>44970</v>
      </c>
      <c r="N76">
        <f t="shared" si="7"/>
        <v>69.049180327868854</v>
      </c>
      <c r="O76" s="1">
        <f t="shared" si="8"/>
        <v>42864</v>
      </c>
      <c r="P76">
        <v>6</v>
      </c>
      <c r="Q76" s="3">
        <v>12</v>
      </c>
      <c r="R76" s="3">
        <v>7.8</v>
      </c>
      <c r="S76" t="s">
        <v>540</v>
      </c>
      <c r="T76" t="str">
        <f t="shared" si="9"/>
        <v>164/19/G</v>
      </c>
      <c r="U76">
        <v>14</v>
      </c>
      <c r="V76">
        <v>7</v>
      </c>
    </row>
    <row r="77" spans="1:22" x14ac:dyDescent="0.25">
      <c r="A77" t="s">
        <v>467</v>
      </c>
      <c r="B77" t="s">
        <v>29</v>
      </c>
      <c r="C77">
        <v>2214</v>
      </c>
      <c r="D77" t="s">
        <v>461</v>
      </c>
      <c r="E77">
        <v>2.25</v>
      </c>
      <c r="F77">
        <v>3150</v>
      </c>
      <c r="G77" t="s">
        <v>40</v>
      </c>
      <c r="H77">
        <v>146</v>
      </c>
      <c r="I77" t="s">
        <v>42</v>
      </c>
      <c r="J77" s="1">
        <v>43062</v>
      </c>
      <c r="K77">
        <v>48</v>
      </c>
      <c r="L77">
        <v>63</v>
      </c>
      <c r="M77" s="1">
        <v>44970</v>
      </c>
      <c r="N77">
        <f t="shared" si="7"/>
        <v>62.557377049180324</v>
      </c>
      <c r="O77" s="1">
        <f t="shared" si="8"/>
        <v>43062</v>
      </c>
      <c r="P77">
        <v>6</v>
      </c>
      <c r="Q77" s="3">
        <v>12</v>
      </c>
      <c r="R77" s="3">
        <v>7.8</v>
      </c>
      <c r="S77" t="s">
        <v>541</v>
      </c>
      <c r="T77" t="str">
        <f t="shared" si="9"/>
        <v>659/17/G</v>
      </c>
      <c r="U77">
        <v>14</v>
      </c>
      <c r="V77">
        <v>7</v>
      </c>
    </row>
    <row r="78" spans="1:22" x14ac:dyDescent="0.25">
      <c r="A78" t="s">
        <v>467</v>
      </c>
      <c r="B78" t="s">
        <v>29</v>
      </c>
      <c r="C78">
        <v>2214</v>
      </c>
      <c r="D78" t="s">
        <v>461</v>
      </c>
      <c r="E78">
        <v>2.25</v>
      </c>
      <c r="F78">
        <v>3150</v>
      </c>
      <c r="G78" t="s">
        <v>41</v>
      </c>
      <c r="H78">
        <v>194</v>
      </c>
      <c r="I78" t="s">
        <v>11</v>
      </c>
      <c r="J78" s="1">
        <v>42683</v>
      </c>
      <c r="K78">
        <v>60</v>
      </c>
      <c r="L78">
        <v>75</v>
      </c>
      <c r="M78" s="1">
        <v>44970</v>
      </c>
      <c r="N78">
        <f t="shared" si="7"/>
        <v>74.983606557377044</v>
      </c>
      <c r="O78" s="1">
        <f t="shared" si="8"/>
        <v>42683</v>
      </c>
      <c r="P78">
        <v>6</v>
      </c>
      <c r="Q78" s="3">
        <v>12</v>
      </c>
      <c r="R78" s="3">
        <v>7.8</v>
      </c>
      <c r="S78" t="s">
        <v>531</v>
      </c>
      <c r="T78" t="str">
        <f t="shared" si="9"/>
        <v>660/17/G</v>
      </c>
      <c r="U78">
        <v>14</v>
      </c>
      <c r="V78">
        <v>7</v>
      </c>
    </row>
    <row r="79" spans="1:22" x14ac:dyDescent="0.25">
      <c r="A79" t="s">
        <v>467</v>
      </c>
      <c r="B79" t="s">
        <v>298</v>
      </c>
      <c r="C79">
        <v>752</v>
      </c>
      <c r="D79" t="s">
        <v>479</v>
      </c>
      <c r="E79">
        <v>2.25</v>
      </c>
      <c r="F79">
        <v>3150</v>
      </c>
      <c r="G79" t="s">
        <v>299</v>
      </c>
      <c r="H79">
        <v>256</v>
      </c>
      <c r="I79" t="s">
        <v>11</v>
      </c>
      <c r="J79" s="1">
        <v>43731</v>
      </c>
      <c r="K79">
        <v>30</v>
      </c>
      <c r="L79">
        <v>25</v>
      </c>
      <c r="M79" s="1">
        <v>44130</v>
      </c>
      <c r="N79">
        <f t="shared" si="7"/>
        <v>13.081967213114755</v>
      </c>
      <c r="O79" s="1">
        <f t="shared" si="8"/>
        <v>43367.5</v>
      </c>
      <c r="P79">
        <v>6</v>
      </c>
      <c r="Q79" s="3">
        <v>3</v>
      </c>
      <c r="R79" s="3">
        <v>7.8</v>
      </c>
      <c r="S79" t="s">
        <v>542</v>
      </c>
      <c r="T79" t="s">
        <v>544</v>
      </c>
      <c r="U79">
        <v>14</v>
      </c>
      <c r="V79">
        <v>7</v>
      </c>
    </row>
    <row r="80" spans="1:22" x14ac:dyDescent="0.25">
      <c r="A80" t="s">
        <v>467</v>
      </c>
      <c r="B80" t="s">
        <v>298</v>
      </c>
      <c r="C80">
        <v>752</v>
      </c>
      <c r="D80" t="s">
        <v>479</v>
      </c>
      <c r="E80">
        <v>2.25</v>
      </c>
      <c r="F80">
        <v>3150</v>
      </c>
      <c r="G80" t="s">
        <v>300</v>
      </c>
      <c r="H80">
        <v>241</v>
      </c>
      <c r="I80" t="s">
        <v>11</v>
      </c>
      <c r="J80" s="1">
        <v>44130</v>
      </c>
      <c r="K80">
        <v>30</v>
      </c>
      <c r="L80">
        <v>17</v>
      </c>
      <c r="M80" s="1">
        <v>44130</v>
      </c>
      <c r="N80">
        <f t="shared" si="7"/>
        <v>0</v>
      </c>
      <c r="O80" s="1">
        <f t="shared" si="8"/>
        <v>43611.5</v>
      </c>
      <c r="P80">
        <v>6</v>
      </c>
      <c r="Q80" s="3">
        <v>3</v>
      </c>
      <c r="R80" s="3">
        <v>7.8</v>
      </c>
      <c r="S80" t="s">
        <v>543</v>
      </c>
      <c r="T80" t="str">
        <f>S79</f>
        <v>490/20/G</v>
      </c>
      <c r="U80">
        <v>14</v>
      </c>
      <c r="V80">
        <v>7</v>
      </c>
    </row>
    <row r="81" spans="1:22" x14ac:dyDescent="0.25">
      <c r="A81" t="s">
        <v>467</v>
      </c>
      <c r="B81" t="s">
        <v>298</v>
      </c>
      <c r="C81">
        <v>752</v>
      </c>
      <c r="D81" t="s">
        <v>479</v>
      </c>
      <c r="E81">
        <v>2.25</v>
      </c>
      <c r="F81">
        <v>3150</v>
      </c>
      <c r="G81" t="s">
        <v>301</v>
      </c>
      <c r="H81">
        <v>255</v>
      </c>
      <c r="I81" t="s">
        <v>11</v>
      </c>
      <c r="J81" s="1">
        <v>43731</v>
      </c>
      <c r="K81">
        <v>30</v>
      </c>
      <c r="L81">
        <v>22</v>
      </c>
      <c r="M81" s="1">
        <v>44130</v>
      </c>
      <c r="N81">
        <f t="shared" si="7"/>
        <v>13.081967213114755</v>
      </c>
      <c r="O81" s="1">
        <f t="shared" si="8"/>
        <v>43459</v>
      </c>
      <c r="P81">
        <v>6</v>
      </c>
      <c r="Q81" s="3">
        <v>3</v>
      </c>
      <c r="R81" s="3">
        <v>7.8</v>
      </c>
      <c r="S81" t="s">
        <v>544</v>
      </c>
      <c r="T81" t="str">
        <f>S80</f>
        <v>493/20/G</v>
      </c>
      <c r="U81">
        <v>14</v>
      </c>
      <c r="V81">
        <v>7</v>
      </c>
    </row>
    <row r="82" spans="1:22" x14ac:dyDescent="0.25">
      <c r="A82" t="s">
        <v>467</v>
      </c>
      <c r="B82" t="s">
        <v>476</v>
      </c>
      <c r="C82">
        <v>2428</v>
      </c>
      <c r="D82" t="s">
        <v>461</v>
      </c>
      <c r="E82">
        <v>2.25</v>
      </c>
      <c r="F82">
        <v>3150</v>
      </c>
      <c r="G82" t="s">
        <v>43</v>
      </c>
      <c r="H82">
        <v>246</v>
      </c>
      <c r="I82" t="s">
        <v>11</v>
      </c>
      <c r="J82" s="1">
        <v>44287</v>
      </c>
      <c r="K82">
        <v>60</v>
      </c>
      <c r="L82">
        <v>42</v>
      </c>
      <c r="M82" s="1">
        <v>44936</v>
      </c>
      <c r="N82">
        <f t="shared" si="7"/>
        <v>21.278688524590162</v>
      </c>
      <c r="O82" s="1">
        <f t="shared" si="8"/>
        <v>43655</v>
      </c>
      <c r="P82">
        <v>6</v>
      </c>
      <c r="Q82" s="3">
        <v>12</v>
      </c>
      <c r="R82" s="3">
        <v>7.8</v>
      </c>
      <c r="S82" t="s">
        <v>545</v>
      </c>
      <c r="T82" t="s">
        <v>546</v>
      </c>
      <c r="U82">
        <v>14</v>
      </c>
      <c r="V82">
        <v>7</v>
      </c>
    </row>
    <row r="83" spans="1:22" x14ac:dyDescent="0.25">
      <c r="A83" t="s">
        <v>467</v>
      </c>
      <c r="B83" t="s">
        <v>476</v>
      </c>
      <c r="C83">
        <v>2428</v>
      </c>
      <c r="D83" t="s">
        <v>461</v>
      </c>
      <c r="E83">
        <v>2.25</v>
      </c>
      <c r="F83">
        <v>3150</v>
      </c>
      <c r="G83" t="s">
        <v>44</v>
      </c>
      <c r="H83">
        <v>249</v>
      </c>
      <c r="I83" t="s">
        <v>11</v>
      </c>
      <c r="J83" s="1">
        <v>44287</v>
      </c>
      <c r="K83">
        <v>60</v>
      </c>
      <c r="L83">
        <v>42</v>
      </c>
      <c r="M83" s="1">
        <v>44936</v>
      </c>
      <c r="N83">
        <f t="shared" si="7"/>
        <v>21.278688524590162</v>
      </c>
      <c r="O83" s="1">
        <f t="shared" si="8"/>
        <v>43655</v>
      </c>
      <c r="P83">
        <v>6</v>
      </c>
      <c r="Q83" s="3">
        <v>12</v>
      </c>
      <c r="R83" s="3">
        <v>7.8</v>
      </c>
      <c r="S83" t="s">
        <v>547</v>
      </c>
      <c r="T83" t="str">
        <f>S82</f>
        <v>432/20/G</v>
      </c>
      <c r="U83">
        <v>14</v>
      </c>
      <c r="V83">
        <v>7</v>
      </c>
    </row>
    <row r="84" spans="1:22" x14ac:dyDescent="0.25">
      <c r="A84" t="s">
        <v>467</v>
      </c>
      <c r="B84" t="s">
        <v>476</v>
      </c>
      <c r="C84">
        <v>2428</v>
      </c>
      <c r="D84" t="s">
        <v>461</v>
      </c>
      <c r="E84">
        <v>2.25</v>
      </c>
      <c r="F84">
        <v>3150</v>
      </c>
      <c r="G84" t="s">
        <v>45</v>
      </c>
      <c r="H84">
        <v>248</v>
      </c>
      <c r="I84" t="s">
        <v>11</v>
      </c>
      <c r="J84" s="1">
        <v>44287</v>
      </c>
      <c r="K84">
        <v>60</v>
      </c>
      <c r="L84">
        <v>38</v>
      </c>
      <c r="M84" s="1">
        <v>44936</v>
      </c>
      <c r="N84">
        <f t="shared" si="7"/>
        <v>21.278688524590162</v>
      </c>
      <c r="O84" s="1">
        <f t="shared" si="8"/>
        <v>43777</v>
      </c>
      <c r="P84">
        <v>6</v>
      </c>
      <c r="Q84" s="3">
        <v>12</v>
      </c>
      <c r="R84" s="3">
        <v>7.8</v>
      </c>
      <c r="S84" t="s">
        <v>548</v>
      </c>
      <c r="T84" t="str">
        <f t="shared" ref="T84:T93" si="10">S83</f>
        <v>561/20/G</v>
      </c>
      <c r="U84">
        <v>14</v>
      </c>
      <c r="V84">
        <v>7</v>
      </c>
    </row>
    <row r="85" spans="1:22" x14ac:dyDescent="0.25">
      <c r="A85" t="s">
        <v>467</v>
      </c>
      <c r="B85" t="s">
        <v>476</v>
      </c>
      <c r="C85">
        <v>2428</v>
      </c>
      <c r="D85" t="s">
        <v>461</v>
      </c>
      <c r="E85">
        <v>2.25</v>
      </c>
      <c r="F85">
        <v>3150</v>
      </c>
      <c r="G85" t="s">
        <v>46</v>
      </c>
      <c r="H85">
        <v>109</v>
      </c>
      <c r="I85" t="s">
        <v>11</v>
      </c>
      <c r="J85" s="1">
        <v>44287</v>
      </c>
      <c r="K85">
        <v>60</v>
      </c>
      <c r="L85">
        <v>53</v>
      </c>
      <c r="M85" s="1">
        <v>44936</v>
      </c>
      <c r="N85">
        <f t="shared" si="7"/>
        <v>21.278688524590162</v>
      </c>
      <c r="O85" s="1">
        <f t="shared" si="8"/>
        <v>43319.5</v>
      </c>
      <c r="P85">
        <v>6</v>
      </c>
      <c r="Q85" s="3">
        <v>12</v>
      </c>
      <c r="R85" s="3">
        <v>7.8</v>
      </c>
      <c r="S85" t="s">
        <v>549</v>
      </c>
      <c r="T85" t="str">
        <f t="shared" si="10"/>
        <v>35/21/G</v>
      </c>
      <c r="U85">
        <v>14</v>
      </c>
      <c r="V85">
        <v>7</v>
      </c>
    </row>
    <row r="86" spans="1:22" x14ac:dyDescent="0.25">
      <c r="A86" t="s">
        <v>467</v>
      </c>
      <c r="B86" t="s">
        <v>476</v>
      </c>
      <c r="C86">
        <v>2428</v>
      </c>
      <c r="D86" t="s">
        <v>461</v>
      </c>
      <c r="E86">
        <v>2.25</v>
      </c>
      <c r="F86">
        <v>3150</v>
      </c>
      <c r="G86" t="s">
        <v>47</v>
      </c>
      <c r="H86">
        <v>51</v>
      </c>
      <c r="I86" t="s">
        <v>11</v>
      </c>
      <c r="J86" s="1">
        <v>44287</v>
      </c>
      <c r="K86">
        <v>60</v>
      </c>
      <c r="L86">
        <v>25</v>
      </c>
      <c r="M86" s="1">
        <v>44936</v>
      </c>
      <c r="N86">
        <f t="shared" si="7"/>
        <v>21.278688524590162</v>
      </c>
      <c r="O86" s="1">
        <f t="shared" si="8"/>
        <v>44173.5</v>
      </c>
      <c r="P86">
        <v>6</v>
      </c>
      <c r="Q86" s="3">
        <v>12</v>
      </c>
      <c r="R86" s="3">
        <v>7.8</v>
      </c>
      <c r="S86" t="s">
        <v>550</v>
      </c>
      <c r="T86" t="str">
        <f t="shared" si="10"/>
        <v>36/21/G</v>
      </c>
      <c r="U86">
        <v>14</v>
      </c>
      <c r="V86">
        <v>7</v>
      </c>
    </row>
    <row r="87" spans="1:22" x14ac:dyDescent="0.25">
      <c r="A87" t="s">
        <v>467</v>
      </c>
      <c r="B87" t="s">
        <v>476</v>
      </c>
      <c r="C87">
        <v>2428</v>
      </c>
      <c r="D87" t="s">
        <v>461</v>
      </c>
      <c r="E87">
        <v>2.25</v>
      </c>
      <c r="F87">
        <v>3150</v>
      </c>
      <c r="G87" t="s">
        <v>48</v>
      </c>
      <c r="H87">
        <v>57</v>
      </c>
      <c r="I87" t="s">
        <v>11</v>
      </c>
      <c r="J87" s="1">
        <v>44287</v>
      </c>
      <c r="K87">
        <v>60</v>
      </c>
      <c r="L87">
        <v>25</v>
      </c>
      <c r="M87" s="1">
        <v>44936</v>
      </c>
      <c r="N87">
        <f t="shared" si="7"/>
        <v>21.278688524590162</v>
      </c>
      <c r="O87" s="1">
        <f t="shared" si="8"/>
        <v>44173.5</v>
      </c>
      <c r="P87">
        <v>6</v>
      </c>
      <c r="Q87" s="3">
        <v>12</v>
      </c>
      <c r="R87" s="3">
        <v>7.8</v>
      </c>
      <c r="S87" t="s">
        <v>551</v>
      </c>
      <c r="T87" t="str">
        <f t="shared" si="10"/>
        <v>211/18/G</v>
      </c>
      <c r="U87">
        <v>14</v>
      </c>
      <c r="V87">
        <v>7</v>
      </c>
    </row>
    <row r="88" spans="1:22" x14ac:dyDescent="0.25">
      <c r="A88" t="s">
        <v>467</v>
      </c>
      <c r="B88" t="s">
        <v>476</v>
      </c>
      <c r="C88">
        <v>2428</v>
      </c>
      <c r="D88" t="s">
        <v>461</v>
      </c>
      <c r="E88">
        <v>2.25</v>
      </c>
      <c r="F88">
        <v>3150</v>
      </c>
      <c r="G88" t="s">
        <v>49</v>
      </c>
      <c r="H88">
        <v>245</v>
      </c>
      <c r="I88" t="s">
        <v>11</v>
      </c>
      <c r="J88" s="1">
        <v>44287</v>
      </c>
      <c r="K88">
        <v>60</v>
      </c>
      <c r="L88">
        <v>38</v>
      </c>
      <c r="M88" s="1">
        <v>44936</v>
      </c>
      <c r="N88">
        <f t="shared" si="7"/>
        <v>21.278688524590162</v>
      </c>
      <c r="O88" s="1">
        <f t="shared" si="8"/>
        <v>43777</v>
      </c>
      <c r="P88">
        <v>6</v>
      </c>
      <c r="Q88" s="3">
        <v>12</v>
      </c>
      <c r="R88" s="3">
        <v>7.8</v>
      </c>
      <c r="S88" t="s">
        <v>552</v>
      </c>
      <c r="T88" t="str">
        <f t="shared" si="10"/>
        <v>39/21/G</v>
      </c>
      <c r="U88">
        <v>14</v>
      </c>
      <c r="V88">
        <v>7</v>
      </c>
    </row>
    <row r="89" spans="1:22" x14ac:dyDescent="0.25">
      <c r="A89" t="s">
        <v>467</v>
      </c>
      <c r="B89" t="s">
        <v>476</v>
      </c>
      <c r="C89">
        <v>2428</v>
      </c>
      <c r="D89" t="s">
        <v>461</v>
      </c>
      <c r="E89">
        <v>2.25</v>
      </c>
      <c r="F89">
        <v>3150</v>
      </c>
      <c r="G89" t="s">
        <v>50</v>
      </c>
      <c r="H89">
        <v>244</v>
      </c>
      <c r="I89" t="s">
        <v>11</v>
      </c>
      <c r="J89" s="1">
        <v>44287</v>
      </c>
      <c r="K89">
        <v>60</v>
      </c>
      <c r="L89">
        <v>38</v>
      </c>
      <c r="M89" s="1">
        <v>44936</v>
      </c>
      <c r="N89">
        <f t="shared" si="7"/>
        <v>21.278688524590162</v>
      </c>
      <c r="O89" s="1">
        <f t="shared" si="8"/>
        <v>43777</v>
      </c>
      <c r="P89">
        <v>6</v>
      </c>
      <c r="Q89" s="3">
        <v>12</v>
      </c>
      <c r="R89" s="3">
        <v>7.8</v>
      </c>
      <c r="S89" t="s">
        <v>553</v>
      </c>
      <c r="T89" t="str">
        <f t="shared" si="10"/>
        <v>568/20/G</v>
      </c>
      <c r="U89">
        <v>14</v>
      </c>
      <c r="V89">
        <v>7</v>
      </c>
    </row>
    <row r="90" spans="1:22" x14ac:dyDescent="0.25">
      <c r="A90" t="s">
        <v>467</v>
      </c>
      <c r="B90" t="s">
        <v>476</v>
      </c>
      <c r="C90">
        <v>2428</v>
      </c>
      <c r="D90" t="s">
        <v>461</v>
      </c>
      <c r="E90">
        <v>2.25</v>
      </c>
      <c r="F90">
        <v>3150</v>
      </c>
      <c r="G90" t="s">
        <v>51</v>
      </c>
      <c r="H90">
        <v>245</v>
      </c>
      <c r="I90" t="s">
        <v>11</v>
      </c>
      <c r="J90" s="1">
        <v>44287</v>
      </c>
      <c r="K90">
        <v>60</v>
      </c>
      <c r="L90">
        <v>42</v>
      </c>
      <c r="M90" s="1">
        <v>44936</v>
      </c>
      <c r="N90">
        <f t="shared" si="7"/>
        <v>21.278688524590162</v>
      </c>
      <c r="O90" s="1">
        <f t="shared" si="8"/>
        <v>43655</v>
      </c>
      <c r="P90">
        <v>6</v>
      </c>
      <c r="Q90" s="3">
        <v>12</v>
      </c>
      <c r="R90" s="3">
        <v>7.8</v>
      </c>
      <c r="S90" t="s">
        <v>554</v>
      </c>
      <c r="T90" t="str">
        <f t="shared" si="10"/>
        <v>451/20/G</v>
      </c>
      <c r="U90">
        <v>14</v>
      </c>
      <c r="V90">
        <v>7</v>
      </c>
    </row>
    <row r="91" spans="1:22" x14ac:dyDescent="0.25">
      <c r="A91" t="s">
        <v>467</v>
      </c>
      <c r="B91" t="s">
        <v>476</v>
      </c>
      <c r="C91">
        <v>2428</v>
      </c>
      <c r="D91" t="s">
        <v>461</v>
      </c>
      <c r="E91">
        <v>2.25</v>
      </c>
      <c r="F91">
        <v>3150</v>
      </c>
      <c r="G91" t="s">
        <v>54</v>
      </c>
      <c r="H91">
        <v>245</v>
      </c>
      <c r="I91" t="s">
        <v>11</v>
      </c>
      <c r="J91" s="1">
        <v>44287</v>
      </c>
      <c r="K91">
        <v>60</v>
      </c>
      <c r="L91">
        <v>42</v>
      </c>
      <c r="M91" s="1">
        <v>44936</v>
      </c>
      <c r="N91">
        <f t="shared" si="7"/>
        <v>21.278688524590162</v>
      </c>
      <c r="O91" s="1">
        <f t="shared" si="8"/>
        <v>43655</v>
      </c>
      <c r="P91">
        <v>6</v>
      </c>
      <c r="Q91" s="3">
        <v>12</v>
      </c>
      <c r="R91" s="3">
        <v>7.8</v>
      </c>
      <c r="S91" t="s">
        <v>555</v>
      </c>
      <c r="T91" t="str">
        <f t="shared" si="10"/>
        <v>413/20/G</v>
      </c>
      <c r="U91">
        <v>14</v>
      </c>
      <c r="V91">
        <v>7</v>
      </c>
    </row>
    <row r="92" spans="1:22" x14ac:dyDescent="0.25">
      <c r="A92" t="s">
        <v>467</v>
      </c>
      <c r="B92" t="s">
        <v>476</v>
      </c>
      <c r="C92">
        <v>2428</v>
      </c>
      <c r="D92" t="s">
        <v>461</v>
      </c>
      <c r="E92">
        <v>2.25</v>
      </c>
      <c r="F92">
        <v>3150</v>
      </c>
      <c r="G92" t="s">
        <v>52</v>
      </c>
      <c r="H92">
        <v>244</v>
      </c>
      <c r="I92" t="s">
        <v>11</v>
      </c>
      <c r="J92" s="1">
        <v>44287</v>
      </c>
      <c r="K92">
        <v>60</v>
      </c>
      <c r="L92">
        <v>42</v>
      </c>
      <c r="M92" s="1">
        <v>44936</v>
      </c>
      <c r="N92">
        <f t="shared" si="7"/>
        <v>21.278688524590162</v>
      </c>
      <c r="O92" s="1">
        <f t="shared" si="8"/>
        <v>43655</v>
      </c>
      <c r="P92">
        <v>6</v>
      </c>
      <c r="Q92" s="3">
        <v>12</v>
      </c>
      <c r="R92" s="3">
        <v>7.8</v>
      </c>
      <c r="S92" t="s">
        <v>556</v>
      </c>
      <c r="T92" t="str">
        <f t="shared" si="10"/>
        <v>427/20/G</v>
      </c>
      <c r="U92">
        <v>14</v>
      </c>
      <c r="V92">
        <v>7</v>
      </c>
    </row>
    <row r="93" spans="1:22" x14ac:dyDescent="0.25">
      <c r="A93" t="s">
        <v>467</v>
      </c>
      <c r="B93" t="s">
        <v>476</v>
      </c>
      <c r="C93">
        <v>2428</v>
      </c>
      <c r="D93" t="s">
        <v>461</v>
      </c>
      <c r="E93">
        <v>2.25</v>
      </c>
      <c r="F93">
        <v>3150</v>
      </c>
      <c r="G93" t="s">
        <v>53</v>
      </c>
      <c r="H93">
        <v>245</v>
      </c>
      <c r="I93" t="s">
        <v>11</v>
      </c>
      <c r="J93" s="1">
        <v>44287</v>
      </c>
      <c r="K93">
        <v>60</v>
      </c>
      <c r="L93">
        <v>42</v>
      </c>
      <c r="M93" s="1">
        <v>44936</v>
      </c>
      <c r="N93">
        <f t="shared" si="7"/>
        <v>21.278688524590162</v>
      </c>
      <c r="O93" s="1">
        <f t="shared" si="8"/>
        <v>43655</v>
      </c>
      <c r="P93">
        <v>6</v>
      </c>
      <c r="Q93" s="3">
        <v>12</v>
      </c>
      <c r="R93" s="3">
        <v>7.8</v>
      </c>
      <c r="S93" t="s">
        <v>546</v>
      </c>
      <c r="T93" t="str">
        <f t="shared" si="10"/>
        <v>429/20/G</v>
      </c>
      <c r="U93">
        <v>14</v>
      </c>
      <c r="V93">
        <v>7</v>
      </c>
    </row>
    <row r="94" spans="1:22" x14ac:dyDescent="0.25">
      <c r="A94" t="s">
        <v>467</v>
      </c>
      <c r="B94" t="s">
        <v>175</v>
      </c>
      <c r="C94">
        <v>1045</v>
      </c>
      <c r="D94" t="s">
        <v>461</v>
      </c>
      <c r="E94">
        <v>2.25</v>
      </c>
      <c r="F94">
        <v>3150</v>
      </c>
      <c r="G94" t="s">
        <v>170</v>
      </c>
      <c r="H94">
        <v>249</v>
      </c>
      <c r="I94" t="s">
        <v>11</v>
      </c>
      <c r="J94" s="1">
        <v>43662</v>
      </c>
      <c r="K94">
        <v>60</v>
      </c>
      <c r="L94">
        <v>0</v>
      </c>
      <c r="M94" s="1">
        <v>43662</v>
      </c>
      <c r="N94">
        <f t="shared" si="7"/>
        <v>0</v>
      </c>
      <c r="O94" s="1">
        <f t="shared" si="8"/>
        <v>43662</v>
      </c>
      <c r="P94">
        <v>6</v>
      </c>
      <c r="Q94" s="3">
        <v>5</v>
      </c>
      <c r="R94" s="3">
        <v>7.8</v>
      </c>
      <c r="S94" t="s">
        <v>557</v>
      </c>
      <c r="T94" t="s">
        <v>558</v>
      </c>
      <c r="U94">
        <v>14</v>
      </c>
      <c r="V94">
        <v>7</v>
      </c>
    </row>
    <row r="95" spans="1:22" x14ac:dyDescent="0.25">
      <c r="A95" t="s">
        <v>467</v>
      </c>
      <c r="B95" t="s">
        <v>175</v>
      </c>
      <c r="C95">
        <v>1045</v>
      </c>
      <c r="D95" t="s">
        <v>461</v>
      </c>
      <c r="E95">
        <v>2.25</v>
      </c>
      <c r="F95">
        <v>3150</v>
      </c>
      <c r="G95" t="s">
        <v>171</v>
      </c>
      <c r="H95">
        <v>248</v>
      </c>
      <c r="I95" t="s">
        <v>11</v>
      </c>
      <c r="J95" s="1">
        <v>43662</v>
      </c>
      <c r="K95">
        <v>60</v>
      </c>
      <c r="L95">
        <v>0</v>
      </c>
      <c r="M95" s="1">
        <v>43663</v>
      </c>
      <c r="N95">
        <f t="shared" si="7"/>
        <v>3.2786885245901641E-2</v>
      </c>
      <c r="O95" s="1">
        <f t="shared" si="8"/>
        <v>43662</v>
      </c>
      <c r="P95">
        <v>6</v>
      </c>
      <c r="Q95" s="3">
        <v>5</v>
      </c>
      <c r="R95" s="3">
        <v>7.8</v>
      </c>
      <c r="S95" t="s">
        <v>559</v>
      </c>
      <c r="T95" t="str">
        <f>S94</f>
        <v>314/19/G</v>
      </c>
      <c r="U95">
        <v>14</v>
      </c>
      <c r="V95">
        <v>7</v>
      </c>
    </row>
    <row r="96" spans="1:22" x14ac:dyDescent="0.25">
      <c r="A96" t="s">
        <v>467</v>
      </c>
      <c r="B96" t="s">
        <v>175</v>
      </c>
      <c r="C96">
        <v>1045</v>
      </c>
      <c r="D96" t="s">
        <v>461</v>
      </c>
      <c r="E96">
        <v>2.25</v>
      </c>
      <c r="F96">
        <v>3150</v>
      </c>
      <c r="G96" t="s">
        <v>172</v>
      </c>
      <c r="H96">
        <v>249</v>
      </c>
      <c r="I96" t="s">
        <v>11</v>
      </c>
      <c r="J96" s="1">
        <v>43662</v>
      </c>
      <c r="K96">
        <v>60</v>
      </c>
      <c r="L96">
        <v>0</v>
      </c>
      <c r="M96" s="1">
        <v>43664</v>
      </c>
      <c r="N96">
        <f t="shared" si="7"/>
        <v>6.5573770491803282E-2</v>
      </c>
      <c r="O96" s="1">
        <f t="shared" si="8"/>
        <v>43662</v>
      </c>
      <c r="P96">
        <v>6</v>
      </c>
      <c r="Q96" s="3">
        <v>5</v>
      </c>
      <c r="R96" s="3">
        <v>7.8</v>
      </c>
      <c r="S96" t="s">
        <v>560</v>
      </c>
      <c r="T96" t="str">
        <f t="shared" ref="T96:T98" si="11">S95</f>
        <v>329/19/G</v>
      </c>
      <c r="U96">
        <v>14</v>
      </c>
      <c r="V96">
        <v>7</v>
      </c>
    </row>
    <row r="97" spans="1:22" x14ac:dyDescent="0.25">
      <c r="A97" t="s">
        <v>467</v>
      </c>
      <c r="B97" t="s">
        <v>175</v>
      </c>
      <c r="C97">
        <v>1045</v>
      </c>
      <c r="D97" t="s">
        <v>461</v>
      </c>
      <c r="E97">
        <v>2.25</v>
      </c>
      <c r="F97">
        <v>3150</v>
      </c>
      <c r="G97" t="s">
        <v>173</v>
      </c>
      <c r="H97">
        <v>52</v>
      </c>
      <c r="I97" t="s">
        <v>11</v>
      </c>
      <c r="J97" s="1">
        <v>43662</v>
      </c>
      <c r="K97">
        <v>60</v>
      </c>
      <c r="L97">
        <v>0</v>
      </c>
      <c r="M97" s="1">
        <v>43665</v>
      </c>
      <c r="N97">
        <f t="shared" si="7"/>
        <v>9.8360655737704916E-2</v>
      </c>
      <c r="O97" s="1">
        <f t="shared" si="8"/>
        <v>43662</v>
      </c>
      <c r="P97">
        <v>6</v>
      </c>
      <c r="Q97" s="3">
        <v>5</v>
      </c>
      <c r="R97" s="3">
        <v>7.8</v>
      </c>
      <c r="S97" t="s">
        <v>561</v>
      </c>
      <c r="T97" t="str">
        <f t="shared" si="11"/>
        <v>324/19/G</v>
      </c>
      <c r="U97">
        <v>14</v>
      </c>
      <c r="V97">
        <v>7</v>
      </c>
    </row>
    <row r="98" spans="1:22" x14ac:dyDescent="0.25">
      <c r="A98" t="s">
        <v>467</v>
      </c>
      <c r="B98" t="s">
        <v>175</v>
      </c>
      <c r="C98">
        <v>1045</v>
      </c>
      <c r="D98" t="s">
        <v>461</v>
      </c>
      <c r="E98">
        <v>2.25</v>
      </c>
      <c r="F98">
        <v>3150</v>
      </c>
      <c r="G98" t="s">
        <v>174</v>
      </c>
      <c r="H98">
        <v>257</v>
      </c>
      <c r="I98" t="s">
        <v>11</v>
      </c>
      <c r="J98" s="1">
        <v>43662</v>
      </c>
      <c r="K98">
        <v>60</v>
      </c>
      <c r="L98">
        <v>0</v>
      </c>
      <c r="M98" s="1">
        <v>43666</v>
      </c>
      <c r="N98">
        <f t="shared" si="7"/>
        <v>0.13114754098360656</v>
      </c>
      <c r="O98" s="1">
        <f t="shared" si="8"/>
        <v>43662</v>
      </c>
      <c r="P98">
        <v>6</v>
      </c>
      <c r="Q98" s="3">
        <v>5</v>
      </c>
      <c r="R98" s="3">
        <v>7.8</v>
      </c>
      <c r="S98" t="s">
        <v>558</v>
      </c>
      <c r="T98" t="str">
        <f t="shared" si="11"/>
        <v>327/19/G</v>
      </c>
      <c r="U98">
        <v>14</v>
      </c>
      <c r="V98">
        <v>7</v>
      </c>
    </row>
    <row r="99" spans="1:22" x14ac:dyDescent="0.25">
      <c r="A99" t="s">
        <v>467</v>
      </c>
      <c r="B99" t="s">
        <v>157</v>
      </c>
      <c r="C99">
        <v>2021</v>
      </c>
      <c r="D99" t="s">
        <v>461</v>
      </c>
      <c r="E99">
        <v>2.25</v>
      </c>
      <c r="F99">
        <v>3150</v>
      </c>
      <c r="G99" t="s">
        <v>0</v>
      </c>
      <c r="H99">
        <v>263</v>
      </c>
      <c r="I99" t="s">
        <v>11</v>
      </c>
      <c r="J99" s="1">
        <v>43658</v>
      </c>
      <c r="K99">
        <v>60</v>
      </c>
      <c r="L99">
        <v>39</v>
      </c>
      <c r="M99" s="1">
        <v>44837</v>
      </c>
      <c r="N99">
        <f t="shared" si="7"/>
        <v>38.655737704918032</v>
      </c>
      <c r="O99" s="1">
        <f t="shared" si="8"/>
        <v>43658</v>
      </c>
      <c r="P99">
        <v>6</v>
      </c>
      <c r="Q99" s="3">
        <v>11</v>
      </c>
      <c r="R99" s="3">
        <v>7.8</v>
      </c>
      <c r="S99" t="s">
        <v>562</v>
      </c>
      <c r="T99" t="s">
        <v>563</v>
      </c>
      <c r="U99">
        <v>14</v>
      </c>
      <c r="V99">
        <v>7</v>
      </c>
    </row>
    <row r="100" spans="1:22" x14ac:dyDescent="0.25">
      <c r="A100" t="s">
        <v>467</v>
      </c>
      <c r="B100" t="s">
        <v>157</v>
      </c>
      <c r="C100">
        <v>2021</v>
      </c>
      <c r="D100" t="s">
        <v>461</v>
      </c>
      <c r="E100">
        <v>2.25</v>
      </c>
      <c r="F100">
        <v>3150</v>
      </c>
      <c r="G100" t="s">
        <v>1</v>
      </c>
      <c r="H100">
        <v>262</v>
      </c>
      <c r="I100" t="s">
        <v>11</v>
      </c>
      <c r="J100" s="1">
        <v>43658</v>
      </c>
      <c r="K100">
        <v>60</v>
      </c>
      <c r="L100">
        <v>39</v>
      </c>
      <c r="M100" s="1">
        <v>44838</v>
      </c>
      <c r="N100">
        <f t="shared" si="7"/>
        <v>38.688524590163937</v>
      </c>
      <c r="O100" s="1">
        <f t="shared" si="8"/>
        <v>43658</v>
      </c>
      <c r="P100">
        <v>6</v>
      </c>
      <c r="Q100" s="3">
        <v>11</v>
      </c>
      <c r="R100" s="3">
        <v>7.8</v>
      </c>
      <c r="S100" t="s">
        <v>564</v>
      </c>
      <c r="T100" t="str">
        <f>S99</f>
        <v>316/19/G</v>
      </c>
      <c r="U100">
        <v>14</v>
      </c>
      <c r="V100">
        <v>7</v>
      </c>
    </row>
    <row r="101" spans="1:22" x14ac:dyDescent="0.25">
      <c r="A101" t="s">
        <v>467</v>
      </c>
      <c r="B101" t="s">
        <v>157</v>
      </c>
      <c r="C101">
        <v>2021</v>
      </c>
      <c r="D101" t="s">
        <v>461</v>
      </c>
      <c r="E101">
        <v>2.25</v>
      </c>
      <c r="F101">
        <v>3150</v>
      </c>
      <c r="G101" t="s">
        <v>2</v>
      </c>
      <c r="H101">
        <v>30</v>
      </c>
      <c r="I101" t="s">
        <v>11</v>
      </c>
      <c r="J101" s="1">
        <v>42520</v>
      </c>
      <c r="K101">
        <v>60</v>
      </c>
      <c r="L101">
        <v>77</v>
      </c>
      <c r="M101" s="1">
        <v>44839</v>
      </c>
      <c r="N101">
        <f t="shared" si="7"/>
        <v>76.032786885245898</v>
      </c>
      <c r="O101" s="1">
        <f t="shared" si="8"/>
        <v>42520</v>
      </c>
      <c r="P101">
        <v>6</v>
      </c>
      <c r="Q101" s="3">
        <v>11</v>
      </c>
      <c r="R101" s="3">
        <v>7.8</v>
      </c>
      <c r="S101" t="s">
        <v>565</v>
      </c>
      <c r="T101" t="str">
        <f t="shared" ref="T101:T109" si="12">S100</f>
        <v>343/20/G</v>
      </c>
      <c r="U101">
        <v>14</v>
      </c>
      <c r="V101">
        <v>7</v>
      </c>
    </row>
    <row r="102" spans="1:22" x14ac:dyDescent="0.25">
      <c r="A102" t="s">
        <v>467</v>
      </c>
      <c r="B102" t="s">
        <v>157</v>
      </c>
      <c r="C102">
        <v>2021</v>
      </c>
      <c r="D102" t="s">
        <v>461</v>
      </c>
      <c r="E102">
        <v>2.25</v>
      </c>
      <c r="F102">
        <v>3150</v>
      </c>
      <c r="G102" t="s">
        <v>3</v>
      </c>
      <c r="H102">
        <v>52</v>
      </c>
      <c r="I102" t="s">
        <v>11</v>
      </c>
      <c r="J102" s="1">
        <v>42520</v>
      </c>
      <c r="K102">
        <v>60</v>
      </c>
      <c r="L102">
        <v>77</v>
      </c>
      <c r="M102" s="1">
        <v>44840</v>
      </c>
      <c r="N102">
        <f t="shared" si="7"/>
        <v>76.06557377049181</v>
      </c>
      <c r="O102" s="1">
        <f t="shared" si="8"/>
        <v>42520</v>
      </c>
      <c r="P102">
        <v>6</v>
      </c>
      <c r="Q102" s="3">
        <v>11</v>
      </c>
      <c r="R102" s="3">
        <v>7.8</v>
      </c>
      <c r="S102" t="s">
        <v>566</v>
      </c>
      <c r="T102" t="str">
        <f t="shared" si="12"/>
        <v>68/16/G</v>
      </c>
      <c r="U102">
        <v>14</v>
      </c>
      <c r="V102">
        <v>7</v>
      </c>
    </row>
    <row r="103" spans="1:22" x14ac:dyDescent="0.25">
      <c r="A103" t="s">
        <v>467</v>
      </c>
      <c r="B103" t="s">
        <v>157</v>
      </c>
      <c r="C103">
        <v>2021</v>
      </c>
      <c r="D103" t="s">
        <v>461</v>
      </c>
      <c r="E103">
        <v>2.25</v>
      </c>
      <c r="F103">
        <v>3150</v>
      </c>
      <c r="G103" t="s">
        <v>4</v>
      </c>
      <c r="H103">
        <v>86</v>
      </c>
      <c r="I103" t="s">
        <v>11</v>
      </c>
      <c r="J103" s="1">
        <v>42520</v>
      </c>
      <c r="K103">
        <v>60</v>
      </c>
      <c r="L103">
        <v>77</v>
      </c>
      <c r="M103" s="1">
        <v>44841</v>
      </c>
      <c r="N103">
        <f t="shared" si="7"/>
        <v>76.098360655737707</v>
      </c>
      <c r="O103" s="1">
        <f t="shared" si="8"/>
        <v>42520</v>
      </c>
      <c r="P103">
        <v>6</v>
      </c>
      <c r="Q103" s="3">
        <v>11</v>
      </c>
      <c r="R103" s="3">
        <v>7.8</v>
      </c>
      <c r="S103" t="s">
        <v>567</v>
      </c>
      <c r="T103" t="str">
        <f t="shared" si="12"/>
        <v>48/16/G</v>
      </c>
      <c r="U103">
        <v>14</v>
      </c>
      <c r="V103">
        <v>7</v>
      </c>
    </row>
    <row r="104" spans="1:22" x14ac:dyDescent="0.25">
      <c r="A104" t="s">
        <v>467</v>
      </c>
      <c r="B104" t="s">
        <v>157</v>
      </c>
      <c r="C104">
        <v>2021</v>
      </c>
      <c r="D104" t="s">
        <v>461</v>
      </c>
      <c r="E104">
        <v>2.25</v>
      </c>
      <c r="F104">
        <v>3150</v>
      </c>
      <c r="G104" t="s">
        <v>5</v>
      </c>
      <c r="H104">
        <v>235</v>
      </c>
      <c r="I104" t="s">
        <v>11</v>
      </c>
      <c r="J104" s="1">
        <v>43888</v>
      </c>
      <c r="K104">
        <v>60</v>
      </c>
      <c r="L104">
        <v>66</v>
      </c>
      <c r="M104" s="1">
        <v>44842</v>
      </c>
      <c r="N104">
        <f t="shared" si="7"/>
        <v>31.278688524590162</v>
      </c>
      <c r="O104" s="1">
        <f t="shared" si="8"/>
        <v>42829</v>
      </c>
      <c r="P104">
        <v>6</v>
      </c>
      <c r="Q104" s="3">
        <v>11</v>
      </c>
      <c r="R104" s="3">
        <v>7.8</v>
      </c>
      <c r="S104" t="s">
        <v>568</v>
      </c>
      <c r="T104" t="str">
        <f t="shared" si="12"/>
        <v>91/20/G</v>
      </c>
      <c r="U104">
        <v>14</v>
      </c>
      <c r="V104">
        <v>7</v>
      </c>
    </row>
    <row r="105" spans="1:22" x14ac:dyDescent="0.25">
      <c r="A105" t="s">
        <v>467</v>
      </c>
      <c r="B105" t="s">
        <v>157</v>
      </c>
      <c r="C105">
        <v>2021</v>
      </c>
      <c r="D105" t="s">
        <v>461</v>
      </c>
      <c r="E105">
        <v>2.25</v>
      </c>
      <c r="F105">
        <v>3150</v>
      </c>
      <c r="G105" t="s">
        <v>6</v>
      </c>
      <c r="H105">
        <v>172</v>
      </c>
      <c r="I105" t="s">
        <v>11</v>
      </c>
      <c r="J105" s="1">
        <v>44048</v>
      </c>
      <c r="K105">
        <v>60</v>
      </c>
      <c r="L105">
        <v>50</v>
      </c>
      <c r="M105" s="1">
        <v>44843</v>
      </c>
      <c r="N105">
        <f t="shared" si="7"/>
        <v>26.065573770491802</v>
      </c>
      <c r="O105" s="1">
        <f t="shared" si="8"/>
        <v>43318</v>
      </c>
      <c r="P105">
        <v>6</v>
      </c>
      <c r="Q105" s="3">
        <v>11</v>
      </c>
      <c r="R105" s="3">
        <v>7.8</v>
      </c>
      <c r="S105" t="s">
        <v>569</v>
      </c>
      <c r="T105" t="str">
        <f t="shared" si="12"/>
        <v>358/20/G</v>
      </c>
      <c r="U105">
        <v>14</v>
      </c>
      <c r="V105">
        <v>7</v>
      </c>
    </row>
    <row r="106" spans="1:22" x14ac:dyDescent="0.25">
      <c r="A106" t="s">
        <v>467</v>
      </c>
      <c r="B106" t="s">
        <v>157</v>
      </c>
      <c r="C106">
        <v>2021</v>
      </c>
      <c r="D106" t="s">
        <v>461</v>
      </c>
      <c r="E106">
        <v>2.25</v>
      </c>
      <c r="F106">
        <v>3150</v>
      </c>
      <c r="G106" t="s">
        <v>7</v>
      </c>
      <c r="H106">
        <v>241</v>
      </c>
      <c r="I106" t="s">
        <v>11</v>
      </c>
      <c r="J106" s="1">
        <v>44048</v>
      </c>
      <c r="K106">
        <v>60</v>
      </c>
      <c r="L106">
        <v>53</v>
      </c>
      <c r="M106" s="1">
        <v>44844</v>
      </c>
      <c r="N106">
        <f t="shared" si="7"/>
        <v>26.098360655737704</v>
      </c>
      <c r="O106" s="1">
        <f t="shared" si="8"/>
        <v>43227.5</v>
      </c>
      <c r="P106">
        <v>6</v>
      </c>
      <c r="Q106" s="3">
        <v>11</v>
      </c>
      <c r="R106" s="3">
        <v>7.8</v>
      </c>
      <c r="S106" t="s">
        <v>570</v>
      </c>
      <c r="T106" t="str">
        <f t="shared" si="12"/>
        <v>363/20/G</v>
      </c>
      <c r="U106">
        <v>14</v>
      </c>
      <c r="V106">
        <v>7</v>
      </c>
    </row>
    <row r="107" spans="1:22" x14ac:dyDescent="0.25">
      <c r="A107" t="s">
        <v>467</v>
      </c>
      <c r="B107" t="s">
        <v>157</v>
      </c>
      <c r="C107">
        <v>2021</v>
      </c>
      <c r="D107" t="s">
        <v>461</v>
      </c>
      <c r="E107">
        <v>2.25</v>
      </c>
      <c r="F107">
        <v>3150</v>
      </c>
      <c r="G107" t="s">
        <v>8</v>
      </c>
      <c r="H107">
        <v>182</v>
      </c>
      <c r="I107" t="s">
        <v>11</v>
      </c>
      <c r="J107" s="1">
        <v>43263</v>
      </c>
      <c r="K107">
        <v>60</v>
      </c>
      <c r="L107">
        <v>52</v>
      </c>
      <c r="M107" s="1">
        <v>44845</v>
      </c>
      <c r="N107">
        <f t="shared" si="7"/>
        <v>51.868852459016395</v>
      </c>
      <c r="O107" s="1">
        <f t="shared" si="8"/>
        <v>43263</v>
      </c>
      <c r="P107">
        <v>6</v>
      </c>
      <c r="Q107" s="3">
        <v>11</v>
      </c>
      <c r="R107" s="3">
        <v>7.8</v>
      </c>
      <c r="S107" t="s">
        <v>571</v>
      </c>
      <c r="T107" t="str">
        <f t="shared" si="12"/>
        <v>365/20/G</v>
      </c>
      <c r="U107">
        <v>14</v>
      </c>
      <c r="V107">
        <v>7</v>
      </c>
    </row>
    <row r="108" spans="1:22" x14ac:dyDescent="0.25">
      <c r="A108" t="s">
        <v>467</v>
      </c>
      <c r="B108" t="s">
        <v>157</v>
      </c>
      <c r="C108">
        <v>2021</v>
      </c>
      <c r="D108" t="s">
        <v>461</v>
      </c>
      <c r="E108">
        <v>2.25</v>
      </c>
      <c r="F108">
        <v>3150</v>
      </c>
      <c r="G108" t="s">
        <v>9</v>
      </c>
      <c r="H108">
        <v>248</v>
      </c>
      <c r="I108" t="s">
        <v>11</v>
      </c>
      <c r="J108" s="1">
        <v>43263</v>
      </c>
      <c r="K108">
        <v>60</v>
      </c>
      <c r="L108">
        <v>52</v>
      </c>
      <c r="M108" s="1">
        <v>44846</v>
      </c>
      <c r="N108">
        <f t="shared" si="7"/>
        <v>51.901639344262293</v>
      </c>
      <c r="O108" s="1">
        <f t="shared" si="8"/>
        <v>43263</v>
      </c>
      <c r="P108">
        <v>6</v>
      </c>
      <c r="Q108" s="3">
        <v>11</v>
      </c>
      <c r="R108" s="3">
        <v>7.8</v>
      </c>
      <c r="S108" t="s">
        <v>572</v>
      </c>
      <c r="T108" t="str">
        <f t="shared" si="12"/>
        <v>287/18/G</v>
      </c>
      <c r="U108">
        <v>14</v>
      </c>
      <c r="V108">
        <v>7</v>
      </c>
    </row>
    <row r="109" spans="1:22" x14ac:dyDescent="0.25">
      <c r="A109" t="s">
        <v>467</v>
      </c>
      <c r="B109" t="s">
        <v>157</v>
      </c>
      <c r="C109">
        <v>2021</v>
      </c>
      <c r="D109" t="s">
        <v>461</v>
      </c>
      <c r="E109">
        <v>2.25</v>
      </c>
      <c r="F109">
        <v>3150</v>
      </c>
      <c r="G109" t="s">
        <v>10</v>
      </c>
      <c r="H109">
        <v>250</v>
      </c>
      <c r="I109" t="s">
        <v>11</v>
      </c>
      <c r="J109" s="1">
        <v>43263</v>
      </c>
      <c r="K109">
        <v>60</v>
      </c>
      <c r="L109">
        <v>52</v>
      </c>
      <c r="M109" s="1">
        <v>44847</v>
      </c>
      <c r="N109">
        <f t="shared" si="7"/>
        <v>51.934426229508198</v>
      </c>
      <c r="O109" s="1">
        <f t="shared" si="8"/>
        <v>43263</v>
      </c>
      <c r="P109">
        <v>6</v>
      </c>
      <c r="Q109" s="3">
        <v>11</v>
      </c>
      <c r="R109" s="3">
        <v>7.8</v>
      </c>
      <c r="S109" t="s">
        <v>563</v>
      </c>
      <c r="T109" t="str">
        <f t="shared" si="12"/>
        <v>289/18/G</v>
      </c>
      <c r="U109">
        <v>14</v>
      </c>
      <c r="V109">
        <v>7</v>
      </c>
    </row>
    <row r="110" spans="1:22" x14ac:dyDescent="0.25">
      <c r="A110" t="s">
        <v>467</v>
      </c>
      <c r="B110" t="s">
        <v>376</v>
      </c>
      <c r="C110">
        <v>2787</v>
      </c>
      <c r="D110" t="s">
        <v>461</v>
      </c>
      <c r="E110">
        <v>2.25</v>
      </c>
      <c r="F110">
        <v>3150</v>
      </c>
      <c r="G110" t="s">
        <v>377</v>
      </c>
      <c r="H110">
        <v>8</v>
      </c>
      <c r="I110" t="s">
        <v>11</v>
      </c>
      <c r="J110" s="1">
        <v>44344</v>
      </c>
      <c r="K110">
        <v>60</v>
      </c>
      <c r="L110">
        <v>46</v>
      </c>
      <c r="M110" s="1">
        <v>45141</v>
      </c>
      <c r="N110">
        <f t="shared" si="7"/>
        <v>26.131147540983605</v>
      </c>
      <c r="O110" s="1">
        <f t="shared" si="8"/>
        <v>43738</v>
      </c>
      <c r="P110">
        <v>6</v>
      </c>
      <c r="Q110" s="3">
        <v>20</v>
      </c>
      <c r="R110" s="3">
        <v>7.8</v>
      </c>
      <c r="S110" t="s">
        <v>573</v>
      </c>
      <c r="T110" t="s">
        <v>574</v>
      </c>
      <c r="U110">
        <v>14</v>
      </c>
      <c r="V110">
        <v>7</v>
      </c>
    </row>
    <row r="111" spans="1:22" x14ac:dyDescent="0.25">
      <c r="A111" t="s">
        <v>467</v>
      </c>
      <c r="B111" t="s">
        <v>376</v>
      </c>
      <c r="C111">
        <v>2787</v>
      </c>
      <c r="D111" t="s">
        <v>461</v>
      </c>
      <c r="E111">
        <v>2.25</v>
      </c>
      <c r="F111">
        <v>3150</v>
      </c>
      <c r="G111" t="s">
        <v>378</v>
      </c>
      <c r="H111">
        <v>177</v>
      </c>
      <c r="I111" t="s">
        <v>11</v>
      </c>
      <c r="J111" s="1">
        <v>44344</v>
      </c>
      <c r="K111">
        <v>60</v>
      </c>
      <c r="L111">
        <v>55</v>
      </c>
      <c r="M111" s="1">
        <v>45141</v>
      </c>
      <c r="N111">
        <f t="shared" si="7"/>
        <v>26.131147540983605</v>
      </c>
      <c r="O111" s="1">
        <f t="shared" si="8"/>
        <v>43463.5</v>
      </c>
      <c r="P111">
        <v>6</v>
      </c>
      <c r="Q111" s="3">
        <v>20</v>
      </c>
      <c r="R111" s="3">
        <v>7.8</v>
      </c>
      <c r="S111" t="s">
        <v>575</v>
      </c>
      <c r="T111" t="str">
        <f>S110</f>
        <v>318/19/G</v>
      </c>
      <c r="U111">
        <v>14</v>
      </c>
      <c r="V111">
        <v>7</v>
      </c>
    </row>
    <row r="112" spans="1:22" x14ac:dyDescent="0.25">
      <c r="A112" t="s">
        <v>467</v>
      </c>
      <c r="B112" t="s">
        <v>376</v>
      </c>
      <c r="C112">
        <v>2787</v>
      </c>
      <c r="D112" t="s">
        <v>461</v>
      </c>
      <c r="E112">
        <v>2.25</v>
      </c>
      <c r="F112">
        <v>3150</v>
      </c>
      <c r="G112" t="s">
        <v>379</v>
      </c>
      <c r="H112">
        <v>194</v>
      </c>
      <c r="I112" t="s">
        <v>11</v>
      </c>
      <c r="J112" s="1">
        <v>44452</v>
      </c>
      <c r="K112">
        <v>60</v>
      </c>
      <c r="L112">
        <v>45</v>
      </c>
      <c r="M112" s="1">
        <v>45141</v>
      </c>
      <c r="N112">
        <f t="shared" si="7"/>
        <v>22.590163934426229</v>
      </c>
      <c r="O112" s="1">
        <f t="shared" si="8"/>
        <v>43768.5</v>
      </c>
      <c r="P112">
        <v>6</v>
      </c>
      <c r="Q112" s="3">
        <v>20</v>
      </c>
      <c r="R112" s="3">
        <v>7.8</v>
      </c>
      <c r="S112" t="s">
        <v>576</v>
      </c>
      <c r="T112" t="str">
        <f t="shared" ref="T112:T129" si="13">S111</f>
        <v>367/21/G</v>
      </c>
      <c r="U112">
        <v>14</v>
      </c>
      <c r="V112">
        <v>7</v>
      </c>
    </row>
    <row r="113" spans="1:22" x14ac:dyDescent="0.25">
      <c r="A113" t="s">
        <v>467</v>
      </c>
      <c r="B113" t="s">
        <v>376</v>
      </c>
      <c r="C113">
        <v>2787</v>
      </c>
      <c r="D113" t="s">
        <v>461</v>
      </c>
      <c r="E113">
        <v>2.25</v>
      </c>
      <c r="F113">
        <v>3150</v>
      </c>
      <c r="G113" t="s">
        <v>241</v>
      </c>
      <c r="H113">
        <v>39</v>
      </c>
      <c r="I113" t="s">
        <v>11</v>
      </c>
      <c r="J113" s="1">
        <v>45124</v>
      </c>
      <c r="K113">
        <v>60</v>
      </c>
      <c r="L113">
        <v>70</v>
      </c>
      <c r="M113" s="1">
        <v>45141</v>
      </c>
      <c r="N113">
        <f t="shared" si="7"/>
        <v>0.55737704918032782</v>
      </c>
      <c r="O113" s="1">
        <f t="shared" si="8"/>
        <v>43006</v>
      </c>
      <c r="P113">
        <v>6</v>
      </c>
      <c r="Q113" s="3">
        <v>20</v>
      </c>
      <c r="R113" s="3">
        <v>7.8</v>
      </c>
      <c r="S113" t="s">
        <v>577</v>
      </c>
      <c r="T113" t="str">
        <f t="shared" si="13"/>
        <v>274/23/G</v>
      </c>
      <c r="U113">
        <v>14</v>
      </c>
      <c r="V113">
        <v>7</v>
      </c>
    </row>
    <row r="114" spans="1:22" x14ac:dyDescent="0.25">
      <c r="A114" t="s">
        <v>467</v>
      </c>
      <c r="B114" t="s">
        <v>376</v>
      </c>
      <c r="C114">
        <v>2787</v>
      </c>
      <c r="D114" t="s">
        <v>461</v>
      </c>
      <c r="E114">
        <v>2.25</v>
      </c>
      <c r="F114">
        <v>3150</v>
      </c>
      <c r="G114" t="s">
        <v>242</v>
      </c>
      <c r="H114">
        <v>184</v>
      </c>
      <c r="I114" t="s">
        <v>11</v>
      </c>
      <c r="J114" s="1">
        <v>45124</v>
      </c>
      <c r="K114">
        <v>60</v>
      </c>
      <c r="L114">
        <v>58</v>
      </c>
      <c r="M114" s="1">
        <v>45141</v>
      </c>
      <c r="N114">
        <f t="shared" si="7"/>
        <v>0.55737704918032782</v>
      </c>
      <c r="O114" s="1">
        <f t="shared" si="8"/>
        <v>43372</v>
      </c>
      <c r="P114">
        <v>6</v>
      </c>
      <c r="Q114" s="3">
        <v>20</v>
      </c>
      <c r="R114" s="3">
        <v>7.8</v>
      </c>
      <c r="S114" t="s">
        <v>578</v>
      </c>
      <c r="T114" t="str">
        <f t="shared" si="13"/>
        <v>532/19/G</v>
      </c>
      <c r="U114">
        <v>14</v>
      </c>
      <c r="V114">
        <v>7</v>
      </c>
    </row>
    <row r="115" spans="1:22" x14ac:dyDescent="0.25">
      <c r="A115" t="s">
        <v>467</v>
      </c>
      <c r="B115" t="s">
        <v>376</v>
      </c>
      <c r="C115">
        <v>2787</v>
      </c>
      <c r="D115" t="s">
        <v>461</v>
      </c>
      <c r="E115">
        <v>2.25</v>
      </c>
      <c r="F115">
        <v>3150</v>
      </c>
      <c r="G115" t="s">
        <v>380</v>
      </c>
      <c r="H115">
        <v>78</v>
      </c>
      <c r="I115" t="s">
        <v>42</v>
      </c>
      <c r="J115" s="1">
        <v>44756</v>
      </c>
      <c r="K115">
        <v>48</v>
      </c>
      <c r="L115">
        <v>42</v>
      </c>
      <c r="M115" s="1">
        <v>45141</v>
      </c>
      <c r="N115">
        <f t="shared" si="7"/>
        <v>12.622950819672131</v>
      </c>
      <c r="O115" s="1">
        <f t="shared" si="8"/>
        <v>43860</v>
      </c>
      <c r="P115">
        <v>6</v>
      </c>
      <c r="Q115" s="3">
        <v>20</v>
      </c>
      <c r="R115" s="3">
        <v>7.8</v>
      </c>
      <c r="S115" t="s">
        <v>579</v>
      </c>
      <c r="T115" t="str">
        <f t="shared" si="13"/>
        <v>278/23/G</v>
      </c>
      <c r="U115">
        <v>14</v>
      </c>
      <c r="V115">
        <v>7</v>
      </c>
    </row>
    <row r="116" spans="1:22" x14ac:dyDescent="0.25">
      <c r="A116" t="s">
        <v>467</v>
      </c>
      <c r="B116" t="s">
        <v>376</v>
      </c>
      <c r="C116">
        <v>2787</v>
      </c>
      <c r="D116" t="s">
        <v>461</v>
      </c>
      <c r="E116">
        <v>2.25</v>
      </c>
      <c r="F116">
        <v>3150</v>
      </c>
      <c r="G116" t="s">
        <v>381</v>
      </c>
      <c r="H116">
        <v>110</v>
      </c>
      <c r="I116" t="s">
        <v>28</v>
      </c>
      <c r="J116" s="1">
        <v>44756</v>
      </c>
      <c r="K116">
        <v>48</v>
      </c>
      <c r="L116">
        <v>39</v>
      </c>
      <c r="M116" s="1">
        <v>45141</v>
      </c>
      <c r="N116">
        <f t="shared" si="7"/>
        <v>12.622950819672131</v>
      </c>
      <c r="O116" s="1">
        <f t="shared" si="8"/>
        <v>43951.5</v>
      </c>
      <c r="P116">
        <v>6</v>
      </c>
      <c r="Q116" s="3">
        <v>20</v>
      </c>
      <c r="R116" s="3">
        <v>7.8</v>
      </c>
      <c r="S116" t="s">
        <v>580</v>
      </c>
      <c r="T116" t="str">
        <f t="shared" si="13"/>
        <v>134/21/G</v>
      </c>
      <c r="U116">
        <v>14</v>
      </c>
      <c r="V116">
        <v>7</v>
      </c>
    </row>
    <row r="117" spans="1:22" x14ac:dyDescent="0.25">
      <c r="A117" t="s">
        <v>467</v>
      </c>
      <c r="B117" t="s">
        <v>376</v>
      </c>
      <c r="C117">
        <v>2787</v>
      </c>
      <c r="D117" t="s">
        <v>461</v>
      </c>
      <c r="E117">
        <v>2.25</v>
      </c>
      <c r="F117">
        <v>3150</v>
      </c>
      <c r="G117" t="s">
        <v>382</v>
      </c>
      <c r="H117">
        <v>212</v>
      </c>
      <c r="I117" t="s">
        <v>42</v>
      </c>
      <c r="J117" s="1">
        <v>44972</v>
      </c>
      <c r="K117">
        <v>48</v>
      </c>
      <c r="L117">
        <v>23</v>
      </c>
      <c r="M117" s="1">
        <v>45141</v>
      </c>
      <c r="N117">
        <f t="shared" si="7"/>
        <v>5.5409836065573774</v>
      </c>
      <c r="O117" s="1">
        <f t="shared" si="8"/>
        <v>44439.5</v>
      </c>
      <c r="P117">
        <v>6</v>
      </c>
      <c r="Q117" s="3">
        <v>20</v>
      </c>
      <c r="R117" s="3">
        <v>7.8</v>
      </c>
      <c r="S117" t="s">
        <v>581</v>
      </c>
      <c r="T117" t="str">
        <f t="shared" si="13"/>
        <v>44/23/G</v>
      </c>
      <c r="U117">
        <v>14</v>
      </c>
      <c r="V117">
        <v>7</v>
      </c>
    </row>
    <row r="118" spans="1:22" x14ac:dyDescent="0.25">
      <c r="A118" t="s">
        <v>467</v>
      </c>
      <c r="B118" t="s">
        <v>376</v>
      </c>
      <c r="C118">
        <v>2787</v>
      </c>
      <c r="D118" t="s">
        <v>461</v>
      </c>
      <c r="E118">
        <v>2.25</v>
      </c>
      <c r="F118">
        <v>3150</v>
      </c>
      <c r="G118" t="s">
        <v>383</v>
      </c>
      <c r="H118">
        <v>130</v>
      </c>
      <c r="I118" t="s">
        <v>28</v>
      </c>
      <c r="J118" s="1">
        <v>45051</v>
      </c>
      <c r="K118">
        <v>48</v>
      </c>
      <c r="L118">
        <v>19</v>
      </c>
      <c r="M118" s="1">
        <v>45141</v>
      </c>
      <c r="N118">
        <f t="shared" si="7"/>
        <v>2.9508196721311477</v>
      </c>
      <c r="O118" s="1">
        <f t="shared" si="8"/>
        <v>44561.5</v>
      </c>
      <c r="P118">
        <v>6</v>
      </c>
      <c r="Q118" s="3">
        <v>20</v>
      </c>
      <c r="R118" s="3">
        <v>7.8</v>
      </c>
      <c r="S118" t="s">
        <v>582</v>
      </c>
      <c r="T118" t="str">
        <f t="shared" si="13"/>
        <v>163/23/G</v>
      </c>
      <c r="U118">
        <v>14</v>
      </c>
      <c r="V118">
        <v>7</v>
      </c>
    </row>
    <row r="119" spans="1:22" x14ac:dyDescent="0.25">
      <c r="A119" t="s">
        <v>467</v>
      </c>
      <c r="B119" t="s">
        <v>376</v>
      </c>
      <c r="C119">
        <v>2787</v>
      </c>
      <c r="D119" t="s">
        <v>461</v>
      </c>
      <c r="E119">
        <v>2.25</v>
      </c>
      <c r="F119">
        <v>3150</v>
      </c>
      <c r="G119" t="s">
        <v>384</v>
      </c>
      <c r="H119">
        <v>77</v>
      </c>
      <c r="I119" t="s">
        <v>28</v>
      </c>
      <c r="J119" s="1">
        <v>45051</v>
      </c>
      <c r="K119">
        <v>48</v>
      </c>
      <c r="L119">
        <v>19</v>
      </c>
      <c r="M119" s="1">
        <v>45141</v>
      </c>
      <c r="N119">
        <f t="shared" si="7"/>
        <v>2.9508196721311477</v>
      </c>
      <c r="O119" s="1">
        <f t="shared" si="8"/>
        <v>44561.5</v>
      </c>
      <c r="P119">
        <v>6</v>
      </c>
      <c r="Q119" s="3">
        <v>20</v>
      </c>
      <c r="R119" s="3">
        <v>7.8</v>
      </c>
      <c r="S119" t="s">
        <v>583</v>
      </c>
      <c r="T119" t="str">
        <f t="shared" si="13"/>
        <v>192/21/G</v>
      </c>
      <c r="U119">
        <v>14</v>
      </c>
      <c r="V119">
        <v>7</v>
      </c>
    </row>
    <row r="120" spans="1:22" x14ac:dyDescent="0.25">
      <c r="A120" t="s">
        <v>467</v>
      </c>
      <c r="B120" t="s">
        <v>376</v>
      </c>
      <c r="C120">
        <v>2787</v>
      </c>
      <c r="D120" t="s">
        <v>461</v>
      </c>
      <c r="E120">
        <v>2.25</v>
      </c>
      <c r="F120">
        <v>3150</v>
      </c>
      <c r="G120" t="s">
        <v>385</v>
      </c>
      <c r="H120">
        <v>168</v>
      </c>
      <c r="I120" t="s">
        <v>28</v>
      </c>
      <c r="J120" s="1">
        <v>44610</v>
      </c>
      <c r="K120">
        <v>48</v>
      </c>
      <c r="L120">
        <v>18</v>
      </c>
      <c r="M120" s="1">
        <v>45141</v>
      </c>
      <c r="N120">
        <f t="shared" si="7"/>
        <v>17.409836065573771</v>
      </c>
      <c r="O120" s="1">
        <f t="shared" si="8"/>
        <v>44610</v>
      </c>
      <c r="P120">
        <v>6</v>
      </c>
      <c r="Q120" s="3">
        <v>20</v>
      </c>
      <c r="R120" s="3">
        <v>7.8</v>
      </c>
      <c r="S120" t="s">
        <v>584</v>
      </c>
      <c r="T120" t="str">
        <f t="shared" si="13"/>
        <v>167/23/G</v>
      </c>
      <c r="U120">
        <v>14</v>
      </c>
      <c r="V120">
        <v>7</v>
      </c>
    </row>
    <row r="121" spans="1:22" x14ac:dyDescent="0.25">
      <c r="A121" t="s">
        <v>467</v>
      </c>
      <c r="B121" t="s">
        <v>376</v>
      </c>
      <c r="C121">
        <v>2787</v>
      </c>
      <c r="D121" t="s">
        <v>461</v>
      </c>
      <c r="E121">
        <v>2.25</v>
      </c>
      <c r="F121">
        <v>3150</v>
      </c>
      <c r="G121" t="s">
        <v>386</v>
      </c>
      <c r="H121">
        <v>29</v>
      </c>
      <c r="I121" t="s">
        <v>28</v>
      </c>
      <c r="J121" s="1">
        <v>44851</v>
      </c>
      <c r="K121">
        <v>48</v>
      </c>
      <c r="L121">
        <v>10</v>
      </c>
      <c r="M121" s="1">
        <v>45141</v>
      </c>
      <c r="N121">
        <f t="shared" si="7"/>
        <v>9.5081967213114762</v>
      </c>
      <c r="O121" s="1">
        <f t="shared" si="8"/>
        <v>44851</v>
      </c>
      <c r="P121">
        <v>6</v>
      </c>
      <c r="Q121" s="3">
        <v>20</v>
      </c>
      <c r="R121" s="3">
        <v>7.8</v>
      </c>
      <c r="S121" t="s">
        <v>585</v>
      </c>
      <c r="T121" t="str">
        <f t="shared" si="13"/>
        <v>355/22/G</v>
      </c>
      <c r="U121">
        <v>14</v>
      </c>
      <c r="V121">
        <v>7</v>
      </c>
    </row>
    <row r="122" spans="1:22" x14ac:dyDescent="0.25">
      <c r="A122" t="s">
        <v>467</v>
      </c>
      <c r="B122" t="s">
        <v>376</v>
      </c>
      <c r="C122">
        <v>2787</v>
      </c>
      <c r="D122" t="s">
        <v>461</v>
      </c>
      <c r="E122">
        <v>2.25</v>
      </c>
      <c r="F122">
        <v>3150</v>
      </c>
      <c r="G122" t="s">
        <v>387</v>
      </c>
      <c r="H122">
        <v>62</v>
      </c>
      <c r="I122" t="s">
        <v>28</v>
      </c>
      <c r="J122" s="1">
        <v>44851</v>
      </c>
      <c r="K122">
        <v>48</v>
      </c>
      <c r="L122">
        <v>10</v>
      </c>
      <c r="M122" s="1">
        <v>45141</v>
      </c>
      <c r="N122">
        <f t="shared" si="7"/>
        <v>9.5081967213114762</v>
      </c>
      <c r="O122" s="1">
        <f t="shared" si="8"/>
        <v>44851</v>
      </c>
      <c r="P122">
        <v>6</v>
      </c>
      <c r="Q122" s="3">
        <v>20</v>
      </c>
      <c r="R122" s="3">
        <v>7.8</v>
      </c>
      <c r="S122" t="s">
        <v>586</v>
      </c>
      <c r="T122" t="str">
        <f t="shared" si="13"/>
        <v>211/22/G</v>
      </c>
      <c r="U122">
        <v>14</v>
      </c>
      <c r="V122">
        <v>7</v>
      </c>
    </row>
    <row r="123" spans="1:22" x14ac:dyDescent="0.25">
      <c r="A123" t="s">
        <v>467</v>
      </c>
      <c r="B123" t="s">
        <v>376</v>
      </c>
      <c r="C123">
        <v>2787</v>
      </c>
      <c r="D123" t="s">
        <v>461</v>
      </c>
      <c r="E123">
        <v>2.25</v>
      </c>
      <c r="F123">
        <v>3150</v>
      </c>
      <c r="G123" t="s">
        <v>388</v>
      </c>
      <c r="H123">
        <v>94</v>
      </c>
      <c r="I123" t="s">
        <v>28</v>
      </c>
      <c r="J123" s="1">
        <v>44851</v>
      </c>
      <c r="K123">
        <v>48</v>
      </c>
      <c r="L123">
        <v>10</v>
      </c>
      <c r="M123" s="1">
        <v>45141</v>
      </c>
      <c r="N123">
        <f t="shared" si="7"/>
        <v>9.5081967213114762</v>
      </c>
      <c r="O123" s="1">
        <f t="shared" si="8"/>
        <v>44851</v>
      </c>
      <c r="P123">
        <v>6</v>
      </c>
      <c r="Q123" s="3">
        <v>20</v>
      </c>
      <c r="R123" s="3">
        <v>7.8</v>
      </c>
      <c r="S123" t="s">
        <v>587</v>
      </c>
      <c r="T123" t="str">
        <f t="shared" si="13"/>
        <v>210/22/G</v>
      </c>
      <c r="U123">
        <v>14</v>
      </c>
      <c r="V123">
        <v>7</v>
      </c>
    </row>
    <row r="124" spans="1:22" x14ac:dyDescent="0.25">
      <c r="A124" t="s">
        <v>467</v>
      </c>
      <c r="B124" t="s">
        <v>376</v>
      </c>
      <c r="C124">
        <v>2787</v>
      </c>
      <c r="D124" t="s">
        <v>461</v>
      </c>
      <c r="E124">
        <v>2.25</v>
      </c>
      <c r="F124">
        <v>3150</v>
      </c>
      <c r="G124" t="s">
        <v>389</v>
      </c>
      <c r="H124">
        <v>243</v>
      </c>
      <c r="I124" t="s">
        <v>11</v>
      </c>
      <c r="J124" s="1">
        <v>44693</v>
      </c>
      <c r="K124">
        <v>60</v>
      </c>
      <c r="L124">
        <v>78</v>
      </c>
      <c r="M124" s="1">
        <v>45141</v>
      </c>
      <c r="N124">
        <f t="shared" si="7"/>
        <v>14.688524590163935</v>
      </c>
      <c r="O124" s="1">
        <f t="shared" si="8"/>
        <v>42762</v>
      </c>
      <c r="P124">
        <v>6</v>
      </c>
      <c r="Q124" s="3">
        <v>20</v>
      </c>
      <c r="R124" s="3">
        <v>7.8</v>
      </c>
      <c r="S124" t="s">
        <v>588</v>
      </c>
      <c r="T124" t="str">
        <f t="shared" si="13"/>
        <v>356/22/G</v>
      </c>
      <c r="U124">
        <v>14</v>
      </c>
      <c r="V124">
        <v>7</v>
      </c>
    </row>
    <row r="125" spans="1:22" x14ac:dyDescent="0.25">
      <c r="A125" t="s">
        <v>467</v>
      </c>
      <c r="B125" t="s">
        <v>376</v>
      </c>
      <c r="C125">
        <v>2787</v>
      </c>
      <c r="D125" t="s">
        <v>461</v>
      </c>
      <c r="E125">
        <v>2.25</v>
      </c>
      <c r="F125">
        <v>3150</v>
      </c>
      <c r="G125" t="s">
        <v>390</v>
      </c>
      <c r="H125">
        <v>235</v>
      </c>
      <c r="I125" t="s">
        <v>11</v>
      </c>
      <c r="J125" s="1">
        <v>44693</v>
      </c>
      <c r="K125">
        <v>60</v>
      </c>
      <c r="L125">
        <v>78</v>
      </c>
      <c r="M125" s="1">
        <v>45141</v>
      </c>
      <c r="N125">
        <f t="shared" si="7"/>
        <v>14.688524590163935</v>
      </c>
      <c r="O125" s="1">
        <f t="shared" si="8"/>
        <v>42762</v>
      </c>
      <c r="P125">
        <v>6</v>
      </c>
      <c r="Q125" s="3">
        <v>20</v>
      </c>
      <c r="R125" s="3">
        <v>7.8</v>
      </c>
      <c r="S125" t="s">
        <v>589</v>
      </c>
      <c r="T125" t="str">
        <f t="shared" si="13"/>
        <v>110/22/G</v>
      </c>
      <c r="U125">
        <v>14</v>
      </c>
      <c r="V125">
        <v>7</v>
      </c>
    </row>
    <row r="126" spans="1:22" x14ac:dyDescent="0.25">
      <c r="A126" t="s">
        <v>467</v>
      </c>
      <c r="B126" t="s">
        <v>376</v>
      </c>
      <c r="C126">
        <v>2787</v>
      </c>
      <c r="D126" t="s">
        <v>461</v>
      </c>
      <c r="E126">
        <v>2.25</v>
      </c>
      <c r="F126">
        <v>3150</v>
      </c>
      <c r="G126" t="s">
        <v>391</v>
      </c>
      <c r="H126">
        <v>239</v>
      </c>
      <c r="I126" t="s">
        <v>11</v>
      </c>
      <c r="J126" s="1">
        <v>44693</v>
      </c>
      <c r="K126">
        <v>60</v>
      </c>
      <c r="L126">
        <v>78</v>
      </c>
      <c r="M126" s="1">
        <v>45141</v>
      </c>
      <c r="N126">
        <f t="shared" ref="N126:N189" si="14">(M126-J126)/30.5</f>
        <v>14.688524590163935</v>
      </c>
      <c r="O126" s="1">
        <f t="shared" ref="O126:O189" si="15">IF(ABS(L126-N126)&lt;1, J126, M126-L126*30.5)</f>
        <v>42762</v>
      </c>
      <c r="P126">
        <v>6</v>
      </c>
      <c r="Q126" s="3">
        <v>20</v>
      </c>
      <c r="R126" s="3">
        <v>7.8</v>
      </c>
      <c r="S126" t="s">
        <v>590</v>
      </c>
      <c r="T126" t="str">
        <f t="shared" si="13"/>
        <v>111/22/G</v>
      </c>
      <c r="U126">
        <v>14</v>
      </c>
      <c r="V126">
        <v>7</v>
      </c>
    </row>
    <row r="127" spans="1:22" x14ac:dyDescent="0.25">
      <c r="A127" t="s">
        <v>467</v>
      </c>
      <c r="B127" t="s">
        <v>376</v>
      </c>
      <c r="C127">
        <v>2787</v>
      </c>
      <c r="D127" t="s">
        <v>461</v>
      </c>
      <c r="E127">
        <v>2.25</v>
      </c>
      <c r="F127">
        <v>3150</v>
      </c>
      <c r="G127" t="s">
        <v>392</v>
      </c>
      <c r="H127">
        <v>245</v>
      </c>
      <c r="I127" t="s">
        <v>11</v>
      </c>
      <c r="J127" s="1">
        <v>44693</v>
      </c>
      <c r="K127">
        <v>60</v>
      </c>
      <c r="L127">
        <v>78</v>
      </c>
      <c r="M127" s="1">
        <v>45141</v>
      </c>
      <c r="N127">
        <f t="shared" si="14"/>
        <v>14.688524590163935</v>
      </c>
      <c r="O127" s="1">
        <f t="shared" si="15"/>
        <v>42762</v>
      </c>
      <c r="P127">
        <v>6</v>
      </c>
      <c r="Q127" s="3">
        <v>20</v>
      </c>
      <c r="R127" s="3">
        <v>7.8</v>
      </c>
      <c r="S127" t="s">
        <v>591</v>
      </c>
      <c r="T127" t="str">
        <f t="shared" si="13"/>
        <v>113/22/G</v>
      </c>
      <c r="U127">
        <v>14</v>
      </c>
      <c r="V127">
        <v>7</v>
      </c>
    </row>
    <row r="128" spans="1:22" x14ac:dyDescent="0.25">
      <c r="A128" t="s">
        <v>467</v>
      </c>
      <c r="B128" t="s">
        <v>376</v>
      </c>
      <c r="C128">
        <v>2787</v>
      </c>
      <c r="D128" t="s">
        <v>461</v>
      </c>
      <c r="E128">
        <v>2.25</v>
      </c>
      <c r="F128">
        <v>3150</v>
      </c>
      <c r="G128" t="s">
        <v>393</v>
      </c>
      <c r="H128">
        <v>81</v>
      </c>
      <c r="I128" t="s">
        <v>11</v>
      </c>
      <c r="J128" s="1">
        <v>44693</v>
      </c>
      <c r="K128">
        <v>60</v>
      </c>
      <c r="L128">
        <v>47</v>
      </c>
      <c r="M128" s="1">
        <v>45141</v>
      </c>
      <c r="N128">
        <f t="shared" si="14"/>
        <v>14.688524590163935</v>
      </c>
      <c r="O128" s="1">
        <f t="shared" si="15"/>
        <v>43707.5</v>
      </c>
      <c r="P128">
        <v>6</v>
      </c>
      <c r="Q128" s="3">
        <v>20</v>
      </c>
      <c r="R128" s="3">
        <v>7.8</v>
      </c>
      <c r="S128" t="s">
        <v>592</v>
      </c>
      <c r="T128" t="str">
        <f t="shared" si="13"/>
        <v>115/22/G</v>
      </c>
      <c r="U128">
        <v>14</v>
      </c>
      <c r="V128">
        <v>7</v>
      </c>
    </row>
    <row r="129" spans="1:22" x14ac:dyDescent="0.25">
      <c r="A129" t="s">
        <v>467</v>
      </c>
      <c r="B129" t="s">
        <v>376</v>
      </c>
      <c r="C129">
        <v>2787</v>
      </c>
      <c r="D129" t="s">
        <v>461</v>
      </c>
      <c r="E129">
        <v>2.25</v>
      </c>
      <c r="F129">
        <v>3150</v>
      </c>
      <c r="G129" t="s">
        <v>394</v>
      </c>
      <c r="H129">
        <v>182</v>
      </c>
      <c r="I129" t="s">
        <v>11</v>
      </c>
      <c r="J129" s="1">
        <v>44292</v>
      </c>
      <c r="K129">
        <v>60</v>
      </c>
      <c r="L129">
        <v>63</v>
      </c>
      <c r="M129" s="1">
        <v>45141</v>
      </c>
      <c r="N129">
        <f t="shared" si="14"/>
        <v>27.83606557377049</v>
      </c>
      <c r="O129" s="1">
        <f t="shared" si="15"/>
        <v>43219.5</v>
      </c>
      <c r="P129">
        <v>6</v>
      </c>
      <c r="Q129" s="3">
        <v>20</v>
      </c>
      <c r="R129" s="3">
        <v>7.8</v>
      </c>
      <c r="S129" t="s">
        <v>574</v>
      </c>
      <c r="T129" t="str">
        <f t="shared" si="13"/>
        <v>147/22/G</v>
      </c>
      <c r="U129">
        <v>14</v>
      </c>
      <c r="V129">
        <v>7</v>
      </c>
    </row>
    <row r="130" spans="1:22" x14ac:dyDescent="0.25">
      <c r="A130" t="s">
        <v>467</v>
      </c>
      <c r="B130" t="s">
        <v>79</v>
      </c>
      <c r="C130">
        <v>2244</v>
      </c>
      <c r="D130" t="s">
        <v>461</v>
      </c>
      <c r="E130">
        <v>2.25</v>
      </c>
      <c r="F130">
        <v>3150</v>
      </c>
      <c r="G130" t="s">
        <v>80</v>
      </c>
      <c r="H130">
        <v>250</v>
      </c>
      <c r="I130" t="s">
        <v>11</v>
      </c>
      <c r="J130" s="1">
        <v>43276</v>
      </c>
      <c r="K130">
        <v>48</v>
      </c>
      <c r="L130">
        <v>56</v>
      </c>
      <c r="M130" s="1">
        <v>44984</v>
      </c>
      <c r="N130">
        <f t="shared" si="14"/>
        <v>56</v>
      </c>
      <c r="O130" s="1">
        <f t="shared" si="15"/>
        <v>43276</v>
      </c>
      <c r="P130">
        <v>6</v>
      </c>
      <c r="Q130" s="3">
        <v>9</v>
      </c>
      <c r="R130" s="3">
        <v>7.8</v>
      </c>
      <c r="S130" t="s">
        <v>695</v>
      </c>
      <c r="T130" t="str">
        <f>S138</f>
        <v>326/118/G</v>
      </c>
      <c r="U130">
        <v>14</v>
      </c>
      <c r="V130">
        <v>7</v>
      </c>
    </row>
    <row r="131" spans="1:22" x14ac:dyDescent="0.25">
      <c r="A131" t="s">
        <v>467</v>
      </c>
      <c r="B131" t="s">
        <v>79</v>
      </c>
      <c r="C131">
        <v>2244</v>
      </c>
      <c r="D131" t="s">
        <v>461</v>
      </c>
      <c r="E131">
        <v>2.25</v>
      </c>
      <c r="F131">
        <v>3150</v>
      </c>
      <c r="G131" t="s">
        <v>81</v>
      </c>
      <c r="H131">
        <v>259</v>
      </c>
      <c r="I131" t="s">
        <v>11</v>
      </c>
      <c r="J131" s="1">
        <v>43276</v>
      </c>
      <c r="K131">
        <v>48</v>
      </c>
      <c r="L131">
        <v>56</v>
      </c>
      <c r="M131" s="1">
        <v>44984</v>
      </c>
      <c r="N131">
        <f t="shared" si="14"/>
        <v>56</v>
      </c>
      <c r="O131" s="1">
        <f t="shared" si="15"/>
        <v>43276</v>
      </c>
      <c r="P131">
        <v>6</v>
      </c>
      <c r="Q131" s="3">
        <v>9</v>
      </c>
      <c r="R131" s="3">
        <v>7.8</v>
      </c>
      <c r="S131" t="s">
        <v>697</v>
      </c>
      <c r="T131" t="str">
        <f>S130</f>
        <v>262/18/G</v>
      </c>
      <c r="U131">
        <v>14</v>
      </c>
      <c r="V131">
        <v>7</v>
      </c>
    </row>
    <row r="132" spans="1:22" x14ac:dyDescent="0.25">
      <c r="A132" t="s">
        <v>467</v>
      </c>
      <c r="B132" t="s">
        <v>79</v>
      </c>
      <c r="C132">
        <v>2244</v>
      </c>
      <c r="D132" t="s">
        <v>461</v>
      </c>
      <c r="E132">
        <v>2.25</v>
      </c>
      <c r="F132">
        <v>3150</v>
      </c>
      <c r="G132" t="s">
        <v>83</v>
      </c>
      <c r="H132">
        <v>251</v>
      </c>
      <c r="I132" t="s">
        <v>11</v>
      </c>
      <c r="J132" s="1">
        <v>43276</v>
      </c>
      <c r="K132">
        <v>48</v>
      </c>
      <c r="L132">
        <v>56</v>
      </c>
      <c r="M132" s="1">
        <v>44984</v>
      </c>
      <c r="N132">
        <f t="shared" si="14"/>
        <v>56</v>
      </c>
      <c r="O132" s="1">
        <f t="shared" si="15"/>
        <v>43276</v>
      </c>
      <c r="P132">
        <v>6</v>
      </c>
      <c r="Q132" s="3">
        <v>9</v>
      </c>
      <c r="R132" s="3">
        <v>7.8</v>
      </c>
      <c r="S132" t="s">
        <v>698</v>
      </c>
      <c r="T132" t="str">
        <f t="shared" ref="T132:T138" si="16">S131</f>
        <v>A258/18/G</v>
      </c>
      <c r="U132">
        <v>14</v>
      </c>
      <c r="V132">
        <v>7</v>
      </c>
    </row>
    <row r="133" spans="1:22" x14ac:dyDescent="0.25">
      <c r="A133" t="s">
        <v>467</v>
      </c>
      <c r="B133" t="s">
        <v>79</v>
      </c>
      <c r="C133">
        <v>2244</v>
      </c>
      <c r="D133" t="s">
        <v>461</v>
      </c>
      <c r="E133">
        <v>2.25</v>
      </c>
      <c r="F133">
        <v>3150</v>
      </c>
      <c r="G133" t="s">
        <v>82</v>
      </c>
      <c r="H133">
        <v>249</v>
      </c>
      <c r="I133" t="s">
        <v>11</v>
      </c>
      <c r="J133" s="1">
        <v>43276</v>
      </c>
      <c r="K133">
        <v>48</v>
      </c>
      <c r="L133">
        <v>56</v>
      </c>
      <c r="M133" s="1">
        <v>44984</v>
      </c>
      <c r="N133">
        <f t="shared" si="14"/>
        <v>56</v>
      </c>
      <c r="O133" s="1">
        <f t="shared" si="15"/>
        <v>43276</v>
      </c>
      <c r="P133">
        <v>6</v>
      </c>
      <c r="Q133" s="3">
        <v>9</v>
      </c>
      <c r="R133" s="3">
        <v>7.8</v>
      </c>
      <c r="S133" t="s">
        <v>699</v>
      </c>
      <c r="T133" t="str">
        <f t="shared" si="16"/>
        <v>258/18/G</v>
      </c>
      <c r="U133">
        <v>14</v>
      </c>
      <c r="V133">
        <v>7</v>
      </c>
    </row>
    <row r="134" spans="1:22" x14ac:dyDescent="0.25">
      <c r="A134" t="s">
        <v>467</v>
      </c>
      <c r="B134" t="s">
        <v>79</v>
      </c>
      <c r="C134">
        <v>2244</v>
      </c>
      <c r="D134" t="s">
        <v>461</v>
      </c>
      <c r="E134">
        <v>2.25</v>
      </c>
      <c r="F134">
        <v>3150</v>
      </c>
      <c r="G134" t="s">
        <v>84</v>
      </c>
      <c r="H134">
        <v>243</v>
      </c>
      <c r="I134" t="s">
        <v>11</v>
      </c>
      <c r="J134" s="1">
        <v>43276</v>
      </c>
      <c r="K134">
        <v>48</v>
      </c>
      <c r="L134">
        <v>56</v>
      </c>
      <c r="M134" s="1">
        <v>44984</v>
      </c>
      <c r="N134">
        <f t="shared" si="14"/>
        <v>56</v>
      </c>
      <c r="O134" s="1">
        <f t="shared" si="15"/>
        <v>43276</v>
      </c>
      <c r="P134">
        <v>6</v>
      </c>
      <c r="Q134" s="3">
        <v>9</v>
      </c>
      <c r="R134" s="3">
        <v>7.8</v>
      </c>
      <c r="S134" t="s">
        <v>700</v>
      </c>
      <c r="T134" t="str">
        <f t="shared" si="16"/>
        <v>255/18/G</v>
      </c>
      <c r="U134">
        <v>14</v>
      </c>
      <c r="V134">
        <v>7</v>
      </c>
    </row>
    <row r="135" spans="1:22" x14ac:dyDescent="0.25">
      <c r="A135" t="s">
        <v>467</v>
      </c>
      <c r="B135" t="s">
        <v>79</v>
      </c>
      <c r="C135">
        <v>2244</v>
      </c>
      <c r="D135" t="s">
        <v>461</v>
      </c>
      <c r="E135">
        <v>2.25</v>
      </c>
      <c r="F135">
        <v>3150</v>
      </c>
      <c r="G135" t="s">
        <v>85</v>
      </c>
      <c r="H135">
        <v>248</v>
      </c>
      <c r="I135" t="s">
        <v>11</v>
      </c>
      <c r="J135" s="1">
        <v>43276</v>
      </c>
      <c r="K135">
        <v>48</v>
      </c>
      <c r="L135">
        <v>56</v>
      </c>
      <c r="M135" s="1">
        <v>44984</v>
      </c>
      <c r="N135">
        <f t="shared" si="14"/>
        <v>56</v>
      </c>
      <c r="O135" s="1">
        <f t="shared" si="15"/>
        <v>43276</v>
      </c>
      <c r="P135">
        <v>6</v>
      </c>
      <c r="Q135" s="3">
        <v>9</v>
      </c>
      <c r="R135" s="3">
        <v>7.8</v>
      </c>
      <c r="S135" t="s">
        <v>701</v>
      </c>
      <c r="T135" t="str">
        <f t="shared" si="16"/>
        <v>456/20/G</v>
      </c>
      <c r="U135">
        <v>14</v>
      </c>
      <c r="V135">
        <v>7</v>
      </c>
    </row>
    <row r="136" spans="1:22" x14ac:dyDescent="0.25">
      <c r="A136" t="s">
        <v>467</v>
      </c>
      <c r="B136" t="s">
        <v>79</v>
      </c>
      <c r="C136">
        <v>2244</v>
      </c>
      <c r="D136" t="s">
        <v>461</v>
      </c>
      <c r="E136">
        <v>2.25</v>
      </c>
      <c r="F136">
        <v>3150</v>
      </c>
      <c r="G136" t="s">
        <v>86</v>
      </c>
      <c r="H136">
        <v>249</v>
      </c>
      <c r="I136" t="s">
        <v>11</v>
      </c>
      <c r="J136" s="1">
        <v>43276</v>
      </c>
      <c r="K136">
        <v>48</v>
      </c>
      <c r="L136">
        <v>56</v>
      </c>
      <c r="M136" s="1">
        <v>44984</v>
      </c>
      <c r="N136">
        <f t="shared" si="14"/>
        <v>56</v>
      </c>
      <c r="O136" s="1">
        <f t="shared" si="15"/>
        <v>43276</v>
      </c>
      <c r="P136">
        <v>6</v>
      </c>
      <c r="Q136" s="3">
        <v>9</v>
      </c>
      <c r="R136" s="3">
        <v>7.8</v>
      </c>
      <c r="S136" t="s">
        <v>702</v>
      </c>
      <c r="T136" t="str">
        <f t="shared" si="16"/>
        <v>257/18/G</v>
      </c>
      <c r="U136">
        <v>14</v>
      </c>
      <c r="V136">
        <v>7</v>
      </c>
    </row>
    <row r="137" spans="1:22" x14ac:dyDescent="0.25">
      <c r="A137" t="s">
        <v>467</v>
      </c>
      <c r="B137" t="s">
        <v>79</v>
      </c>
      <c r="C137">
        <v>2244</v>
      </c>
      <c r="D137" t="s">
        <v>461</v>
      </c>
      <c r="E137">
        <v>2.25</v>
      </c>
      <c r="F137">
        <v>3150</v>
      </c>
      <c r="G137" t="s">
        <v>87</v>
      </c>
      <c r="H137">
        <v>250</v>
      </c>
      <c r="I137" t="s">
        <v>11</v>
      </c>
      <c r="J137" s="1">
        <v>43276</v>
      </c>
      <c r="K137">
        <v>48</v>
      </c>
      <c r="L137">
        <v>56</v>
      </c>
      <c r="M137" s="1">
        <v>44984</v>
      </c>
      <c r="N137">
        <f t="shared" si="14"/>
        <v>56</v>
      </c>
      <c r="O137" s="1">
        <f t="shared" si="15"/>
        <v>43276</v>
      </c>
      <c r="P137">
        <v>6</v>
      </c>
      <c r="Q137" s="3">
        <v>9</v>
      </c>
      <c r="R137" s="3">
        <v>7.8</v>
      </c>
      <c r="S137" t="s">
        <v>703</v>
      </c>
      <c r="T137" t="str">
        <f t="shared" si="16"/>
        <v>254/18/G</v>
      </c>
      <c r="U137">
        <v>14</v>
      </c>
      <c r="V137">
        <v>7</v>
      </c>
    </row>
    <row r="138" spans="1:22" x14ac:dyDescent="0.25">
      <c r="A138" t="s">
        <v>467</v>
      </c>
      <c r="B138" t="s">
        <v>79</v>
      </c>
      <c r="C138">
        <v>2244</v>
      </c>
      <c r="D138" t="s">
        <v>461</v>
      </c>
      <c r="E138">
        <v>2.25</v>
      </c>
      <c r="F138">
        <v>3150</v>
      </c>
      <c r="G138" t="s">
        <v>88</v>
      </c>
      <c r="H138">
        <v>245</v>
      </c>
      <c r="I138" t="s">
        <v>11</v>
      </c>
      <c r="J138" s="1">
        <v>43276</v>
      </c>
      <c r="K138">
        <v>48</v>
      </c>
      <c r="L138">
        <v>56</v>
      </c>
      <c r="M138" s="1">
        <v>44984</v>
      </c>
      <c r="N138">
        <f t="shared" si="14"/>
        <v>56</v>
      </c>
      <c r="O138" s="1">
        <f t="shared" si="15"/>
        <v>43276</v>
      </c>
      <c r="P138">
        <v>6</v>
      </c>
      <c r="Q138" s="3">
        <v>9</v>
      </c>
      <c r="R138" s="3">
        <v>7.8</v>
      </c>
      <c r="S138" t="s">
        <v>704</v>
      </c>
      <c r="T138" t="str">
        <f t="shared" si="16"/>
        <v>327/18/G</v>
      </c>
      <c r="U138">
        <v>14</v>
      </c>
      <c r="V138">
        <v>7</v>
      </c>
    </row>
    <row r="139" spans="1:22" x14ac:dyDescent="0.25">
      <c r="A139" t="s">
        <v>467</v>
      </c>
      <c r="B139" t="s">
        <v>302</v>
      </c>
      <c r="C139">
        <v>722</v>
      </c>
      <c r="D139" t="s">
        <v>479</v>
      </c>
      <c r="E139">
        <v>2.25</v>
      </c>
      <c r="F139">
        <v>3150</v>
      </c>
      <c r="G139" t="s">
        <v>303</v>
      </c>
      <c r="H139">
        <v>248</v>
      </c>
      <c r="I139" t="s">
        <v>11</v>
      </c>
      <c r="J139" s="1">
        <v>43622</v>
      </c>
      <c r="K139">
        <v>30</v>
      </c>
      <c r="L139">
        <v>16</v>
      </c>
      <c r="M139" s="1">
        <v>44117</v>
      </c>
      <c r="N139">
        <f t="shared" si="14"/>
        <v>16.229508196721312</v>
      </c>
      <c r="O139" s="1">
        <f t="shared" si="15"/>
        <v>43622</v>
      </c>
      <c r="P139">
        <v>6</v>
      </c>
      <c r="Q139" s="3">
        <v>4</v>
      </c>
      <c r="R139" s="3">
        <v>7.8</v>
      </c>
      <c r="S139" t="s">
        <v>593</v>
      </c>
      <c r="T139" t="s">
        <v>596</v>
      </c>
      <c r="U139">
        <v>14</v>
      </c>
      <c r="V139">
        <v>7</v>
      </c>
    </row>
    <row r="140" spans="1:22" x14ac:dyDescent="0.25">
      <c r="A140" t="s">
        <v>467</v>
      </c>
      <c r="B140" t="s">
        <v>302</v>
      </c>
      <c r="C140">
        <v>722</v>
      </c>
      <c r="D140" t="s">
        <v>479</v>
      </c>
      <c r="E140">
        <v>2.25</v>
      </c>
      <c r="F140">
        <v>3150</v>
      </c>
      <c r="G140" t="s">
        <v>304</v>
      </c>
      <c r="H140">
        <v>33</v>
      </c>
      <c r="I140" t="s">
        <v>11</v>
      </c>
      <c r="J140" s="1">
        <v>43622</v>
      </c>
      <c r="K140">
        <v>30</v>
      </c>
      <c r="L140">
        <v>16</v>
      </c>
      <c r="M140" s="1">
        <v>44117</v>
      </c>
      <c r="N140">
        <f t="shared" si="14"/>
        <v>16.229508196721312</v>
      </c>
      <c r="O140" s="1">
        <f t="shared" si="15"/>
        <v>43622</v>
      </c>
      <c r="P140">
        <v>6</v>
      </c>
      <c r="Q140" s="3">
        <v>4</v>
      </c>
      <c r="R140" s="3">
        <v>7.8</v>
      </c>
      <c r="S140" t="s">
        <v>594</v>
      </c>
      <c r="T140" t="str">
        <f>S139</f>
        <v>270/19/G</v>
      </c>
      <c r="U140">
        <v>14</v>
      </c>
      <c r="V140">
        <v>7</v>
      </c>
    </row>
    <row r="141" spans="1:22" x14ac:dyDescent="0.25">
      <c r="A141" t="s">
        <v>467</v>
      </c>
      <c r="B141" t="s">
        <v>302</v>
      </c>
      <c r="C141">
        <v>722</v>
      </c>
      <c r="D141" t="s">
        <v>479</v>
      </c>
      <c r="E141">
        <v>2.25</v>
      </c>
      <c r="F141">
        <v>3150</v>
      </c>
      <c r="G141" t="s">
        <v>306</v>
      </c>
      <c r="H141">
        <v>192</v>
      </c>
      <c r="I141" t="s">
        <v>11</v>
      </c>
      <c r="J141" s="1">
        <v>43622</v>
      </c>
      <c r="K141">
        <v>30</v>
      </c>
      <c r="L141">
        <v>16</v>
      </c>
      <c r="M141" s="1">
        <v>44117</v>
      </c>
      <c r="N141">
        <f t="shared" si="14"/>
        <v>16.229508196721312</v>
      </c>
      <c r="O141" s="1">
        <f t="shared" si="15"/>
        <v>43622</v>
      </c>
      <c r="P141">
        <v>6</v>
      </c>
      <c r="Q141" s="3">
        <v>4</v>
      </c>
      <c r="R141" s="3">
        <v>7.8</v>
      </c>
      <c r="S141" t="s">
        <v>595</v>
      </c>
      <c r="T141" t="str">
        <f t="shared" ref="T141:T142" si="17">S140</f>
        <v>440/20/G</v>
      </c>
      <c r="U141">
        <v>14</v>
      </c>
      <c r="V141">
        <v>7</v>
      </c>
    </row>
    <row r="142" spans="1:22" x14ac:dyDescent="0.25">
      <c r="A142" t="s">
        <v>467</v>
      </c>
      <c r="B142" t="s">
        <v>302</v>
      </c>
      <c r="C142">
        <v>722</v>
      </c>
      <c r="D142" t="s">
        <v>479</v>
      </c>
      <c r="E142">
        <v>2.25</v>
      </c>
      <c r="F142">
        <v>3150</v>
      </c>
      <c r="G142" t="s">
        <v>305</v>
      </c>
      <c r="H142">
        <v>249</v>
      </c>
      <c r="I142" t="s">
        <v>11</v>
      </c>
      <c r="J142" s="1">
        <v>43622</v>
      </c>
      <c r="K142">
        <v>30</v>
      </c>
      <c r="L142">
        <v>16</v>
      </c>
      <c r="M142" s="1">
        <v>44117</v>
      </c>
      <c r="N142">
        <f t="shared" si="14"/>
        <v>16.229508196721312</v>
      </c>
      <c r="O142" s="1">
        <f t="shared" si="15"/>
        <v>43622</v>
      </c>
      <c r="P142">
        <v>6</v>
      </c>
      <c r="Q142" s="3">
        <v>4</v>
      </c>
      <c r="R142" s="3">
        <v>7.8</v>
      </c>
      <c r="S142" t="s">
        <v>596</v>
      </c>
      <c r="T142" t="str">
        <f t="shared" si="17"/>
        <v>265/19/G</v>
      </c>
      <c r="U142">
        <v>14</v>
      </c>
      <c r="V142">
        <v>7</v>
      </c>
    </row>
    <row r="143" spans="1:22" x14ac:dyDescent="0.25">
      <c r="A143" t="s">
        <v>467</v>
      </c>
      <c r="B143" t="s">
        <v>176</v>
      </c>
      <c r="C143">
        <v>543</v>
      </c>
      <c r="D143" t="s">
        <v>461</v>
      </c>
      <c r="E143">
        <v>2.25</v>
      </c>
      <c r="F143">
        <v>3150</v>
      </c>
      <c r="G143" t="s">
        <v>177</v>
      </c>
      <c r="H143">
        <v>247</v>
      </c>
      <c r="I143" t="s">
        <v>11</v>
      </c>
      <c r="J143" s="1">
        <v>44138</v>
      </c>
      <c r="K143">
        <v>30</v>
      </c>
      <c r="L143">
        <v>31</v>
      </c>
      <c r="M143" s="1">
        <v>45083</v>
      </c>
      <c r="N143">
        <f t="shared" si="14"/>
        <v>30.983606557377048</v>
      </c>
      <c r="O143" s="1">
        <f t="shared" si="15"/>
        <v>44138</v>
      </c>
      <c r="P143">
        <v>6</v>
      </c>
      <c r="Q143" s="3">
        <v>3</v>
      </c>
      <c r="R143" s="3">
        <v>7.8</v>
      </c>
      <c r="S143" t="s">
        <v>597</v>
      </c>
      <c r="T143" t="str">
        <f>S145</f>
        <v>458/20/G</v>
      </c>
      <c r="U143">
        <v>14</v>
      </c>
      <c r="V143">
        <v>7</v>
      </c>
    </row>
    <row r="144" spans="1:22" x14ac:dyDescent="0.25">
      <c r="A144" t="s">
        <v>467</v>
      </c>
      <c r="B144" t="s">
        <v>176</v>
      </c>
      <c r="C144">
        <v>543</v>
      </c>
      <c r="D144" t="s">
        <v>461</v>
      </c>
      <c r="E144">
        <v>2.25</v>
      </c>
      <c r="F144">
        <v>3150</v>
      </c>
      <c r="G144" t="s">
        <v>178</v>
      </c>
      <c r="H144">
        <v>248</v>
      </c>
      <c r="I144" t="s">
        <v>11</v>
      </c>
      <c r="J144" s="1">
        <v>44138</v>
      </c>
      <c r="K144">
        <v>30</v>
      </c>
      <c r="L144">
        <v>31</v>
      </c>
      <c r="M144" s="1">
        <v>45083</v>
      </c>
      <c r="N144">
        <f t="shared" si="14"/>
        <v>30.983606557377048</v>
      </c>
      <c r="O144" s="1">
        <f t="shared" si="15"/>
        <v>44138</v>
      </c>
      <c r="P144">
        <v>6</v>
      </c>
      <c r="Q144" s="3">
        <v>3</v>
      </c>
      <c r="R144" s="3">
        <v>7.8</v>
      </c>
      <c r="S144" t="s">
        <v>598</v>
      </c>
      <c r="T144" t="str">
        <f>S143</f>
        <v>452/20/G</v>
      </c>
      <c r="U144">
        <v>14</v>
      </c>
      <c r="V144">
        <v>7</v>
      </c>
    </row>
    <row r="145" spans="1:22" x14ac:dyDescent="0.25">
      <c r="A145" t="s">
        <v>467</v>
      </c>
      <c r="B145" t="s">
        <v>176</v>
      </c>
      <c r="C145">
        <v>543</v>
      </c>
      <c r="D145" t="s">
        <v>461</v>
      </c>
      <c r="E145">
        <v>2.25</v>
      </c>
      <c r="F145">
        <v>3150</v>
      </c>
      <c r="G145" t="s">
        <v>179</v>
      </c>
      <c r="H145">
        <v>48</v>
      </c>
      <c r="I145" t="s">
        <v>11</v>
      </c>
      <c r="J145" s="1">
        <v>44138</v>
      </c>
      <c r="K145">
        <v>30</v>
      </c>
      <c r="L145">
        <v>31</v>
      </c>
      <c r="M145" s="1">
        <v>45083</v>
      </c>
      <c r="N145">
        <f t="shared" si="14"/>
        <v>30.983606557377048</v>
      </c>
      <c r="O145" s="1">
        <f t="shared" si="15"/>
        <v>44138</v>
      </c>
      <c r="P145">
        <v>6</v>
      </c>
      <c r="Q145" s="3">
        <v>3</v>
      </c>
      <c r="R145" s="3">
        <v>7.8</v>
      </c>
      <c r="S145" t="s">
        <v>599</v>
      </c>
      <c r="T145" t="str">
        <f>S144</f>
        <v>455/20/G</v>
      </c>
      <c r="U145">
        <v>14</v>
      </c>
      <c r="V145">
        <v>7</v>
      </c>
    </row>
    <row r="146" spans="1:22" x14ac:dyDescent="0.25">
      <c r="A146" t="s">
        <v>467</v>
      </c>
      <c r="B146" t="s">
        <v>55</v>
      </c>
      <c r="C146">
        <v>1881</v>
      </c>
      <c r="D146" t="s">
        <v>461</v>
      </c>
      <c r="E146">
        <v>2.25</v>
      </c>
      <c r="F146">
        <v>3150</v>
      </c>
      <c r="G146" t="s">
        <v>56</v>
      </c>
      <c r="H146">
        <v>183</v>
      </c>
      <c r="I146" t="s">
        <v>11</v>
      </c>
      <c r="J146" s="1">
        <v>43622</v>
      </c>
      <c r="K146">
        <v>60</v>
      </c>
      <c r="L146">
        <v>45</v>
      </c>
      <c r="M146" s="1">
        <v>45014</v>
      </c>
      <c r="N146">
        <f t="shared" si="14"/>
        <v>45.639344262295083</v>
      </c>
      <c r="O146" s="1">
        <f t="shared" si="15"/>
        <v>43622</v>
      </c>
      <c r="P146">
        <v>6</v>
      </c>
      <c r="Q146" s="3">
        <v>11</v>
      </c>
      <c r="R146" s="3">
        <v>7.8</v>
      </c>
      <c r="S146" t="s">
        <v>600</v>
      </c>
      <c r="T146" t="str">
        <f>S156</f>
        <v>266/19/G</v>
      </c>
      <c r="U146">
        <v>14</v>
      </c>
      <c r="V146">
        <v>7</v>
      </c>
    </row>
    <row r="147" spans="1:22" x14ac:dyDescent="0.25">
      <c r="A147" t="s">
        <v>467</v>
      </c>
      <c r="B147" t="s">
        <v>55</v>
      </c>
      <c r="C147">
        <v>1881</v>
      </c>
      <c r="D147" t="s">
        <v>461</v>
      </c>
      <c r="E147">
        <v>2.25</v>
      </c>
      <c r="F147">
        <v>3150</v>
      </c>
      <c r="G147" t="s">
        <v>57</v>
      </c>
      <c r="H147">
        <v>184</v>
      </c>
      <c r="I147" t="s">
        <v>11</v>
      </c>
      <c r="J147" s="1">
        <v>43476</v>
      </c>
      <c r="K147">
        <v>60</v>
      </c>
      <c r="L147">
        <v>50</v>
      </c>
      <c r="M147" s="1">
        <v>45014</v>
      </c>
      <c r="N147">
        <f t="shared" si="14"/>
        <v>50.42622950819672</v>
      </c>
      <c r="O147" s="1">
        <f t="shared" si="15"/>
        <v>43476</v>
      </c>
      <c r="P147">
        <v>6</v>
      </c>
      <c r="Q147" s="3">
        <v>11</v>
      </c>
      <c r="R147" s="3">
        <v>7.8</v>
      </c>
      <c r="S147" t="s">
        <v>601</v>
      </c>
      <c r="T147" t="str">
        <f>S146</f>
        <v>269/19/G</v>
      </c>
      <c r="U147">
        <v>14</v>
      </c>
      <c r="V147">
        <v>7</v>
      </c>
    </row>
    <row r="148" spans="1:22" x14ac:dyDescent="0.25">
      <c r="A148" t="s">
        <v>467</v>
      </c>
      <c r="B148" t="s">
        <v>55</v>
      </c>
      <c r="C148">
        <v>1881</v>
      </c>
      <c r="D148" t="s">
        <v>461</v>
      </c>
      <c r="E148">
        <v>2.25</v>
      </c>
      <c r="F148">
        <v>3150</v>
      </c>
      <c r="G148" t="s">
        <v>58</v>
      </c>
      <c r="H148">
        <v>189</v>
      </c>
      <c r="I148" t="s">
        <v>11</v>
      </c>
      <c r="J148" s="1">
        <v>43321</v>
      </c>
      <c r="K148">
        <v>60</v>
      </c>
      <c r="L148">
        <v>55</v>
      </c>
      <c r="M148" s="1">
        <v>45014</v>
      </c>
      <c r="N148">
        <f t="shared" si="14"/>
        <v>55.508196721311478</v>
      </c>
      <c r="O148" s="1">
        <f t="shared" si="15"/>
        <v>43321</v>
      </c>
      <c r="P148">
        <v>6</v>
      </c>
      <c r="Q148" s="3">
        <v>11</v>
      </c>
      <c r="R148" s="3">
        <v>7.8</v>
      </c>
      <c r="S148" t="s">
        <v>602</v>
      </c>
      <c r="T148" t="str">
        <f t="shared" ref="T148:T156" si="18">S147</f>
        <v>17/19/G</v>
      </c>
      <c r="U148">
        <v>14</v>
      </c>
      <c r="V148">
        <v>7</v>
      </c>
    </row>
    <row r="149" spans="1:22" x14ac:dyDescent="0.25">
      <c r="A149" t="s">
        <v>467</v>
      </c>
      <c r="B149" t="s">
        <v>55</v>
      </c>
      <c r="C149">
        <v>1881</v>
      </c>
      <c r="D149" t="s">
        <v>461</v>
      </c>
      <c r="E149">
        <v>2.25</v>
      </c>
      <c r="F149">
        <v>3150</v>
      </c>
      <c r="G149" t="s">
        <v>59</v>
      </c>
      <c r="H149">
        <v>185</v>
      </c>
      <c r="I149" t="s">
        <v>11</v>
      </c>
      <c r="J149" s="1">
        <v>43215</v>
      </c>
      <c r="K149">
        <v>60</v>
      </c>
      <c r="L149">
        <v>59</v>
      </c>
      <c r="M149" s="1">
        <v>45014</v>
      </c>
      <c r="N149">
        <f t="shared" si="14"/>
        <v>58.983606557377051</v>
      </c>
      <c r="O149" s="1">
        <f t="shared" si="15"/>
        <v>43215</v>
      </c>
      <c r="P149">
        <v>6</v>
      </c>
      <c r="Q149" s="3">
        <v>11</v>
      </c>
      <c r="R149" s="3">
        <v>7.8</v>
      </c>
      <c r="S149" t="s">
        <v>603</v>
      </c>
      <c r="T149" t="str">
        <f t="shared" si="18"/>
        <v>391/18/G</v>
      </c>
      <c r="U149">
        <v>14</v>
      </c>
      <c r="V149">
        <v>7</v>
      </c>
    </row>
    <row r="150" spans="1:22" x14ac:dyDescent="0.25">
      <c r="A150" t="s">
        <v>467</v>
      </c>
      <c r="B150" t="s">
        <v>55</v>
      </c>
      <c r="C150">
        <v>1881</v>
      </c>
      <c r="D150" t="s">
        <v>461</v>
      </c>
      <c r="E150">
        <v>2.25</v>
      </c>
      <c r="F150">
        <v>3150</v>
      </c>
      <c r="G150" t="s">
        <v>60</v>
      </c>
      <c r="H150">
        <v>61</v>
      </c>
      <c r="I150" t="s">
        <v>11</v>
      </c>
      <c r="J150" s="1">
        <v>44039</v>
      </c>
      <c r="K150">
        <v>60</v>
      </c>
      <c r="L150">
        <v>93</v>
      </c>
      <c r="M150" s="1">
        <v>45014</v>
      </c>
      <c r="N150">
        <f t="shared" si="14"/>
        <v>31.967213114754099</v>
      </c>
      <c r="O150" s="1">
        <f t="shared" si="15"/>
        <v>42177.5</v>
      </c>
      <c r="P150">
        <v>6</v>
      </c>
      <c r="Q150" s="3">
        <v>11</v>
      </c>
      <c r="R150" s="3">
        <v>7.8</v>
      </c>
      <c r="S150" t="s">
        <v>604</v>
      </c>
      <c r="T150" t="str">
        <f t="shared" si="18"/>
        <v>338/20/G</v>
      </c>
      <c r="U150">
        <v>14</v>
      </c>
      <c r="V150">
        <v>7</v>
      </c>
    </row>
    <row r="151" spans="1:22" x14ac:dyDescent="0.25">
      <c r="A151" t="s">
        <v>467</v>
      </c>
      <c r="B151" t="s">
        <v>55</v>
      </c>
      <c r="C151">
        <v>1881</v>
      </c>
      <c r="D151" t="s">
        <v>461</v>
      </c>
      <c r="E151">
        <v>2.25</v>
      </c>
      <c r="F151">
        <v>3150</v>
      </c>
      <c r="G151" t="s">
        <v>61</v>
      </c>
      <c r="H151">
        <v>92</v>
      </c>
      <c r="I151" t="s">
        <v>11</v>
      </c>
      <c r="J151" s="1">
        <v>44039</v>
      </c>
      <c r="K151">
        <v>60</v>
      </c>
      <c r="L151">
        <v>93</v>
      </c>
      <c r="M151" s="1">
        <v>45014</v>
      </c>
      <c r="N151">
        <f t="shared" si="14"/>
        <v>31.967213114754099</v>
      </c>
      <c r="O151" s="1">
        <f t="shared" si="15"/>
        <v>42177.5</v>
      </c>
      <c r="P151">
        <v>6</v>
      </c>
      <c r="Q151" s="3">
        <v>11</v>
      </c>
      <c r="R151" s="3">
        <v>7.8</v>
      </c>
      <c r="S151" t="s">
        <v>605</v>
      </c>
      <c r="T151" t="str">
        <f t="shared" si="18"/>
        <v>61/23/G</v>
      </c>
      <c r="U151">
        <v>14</v>
      </c>
      <c r="V151">
        <v>7</v>
      </c>
    </row>
    <row r="152" spans="1:22" x14ac:dyDescent="0.25">
      <c r="A152" t="s">
        <v>467</v>
      </c>
      <c r="B152" t="s">
        <v>55</v>
      </c>
      <c r="C152">
        <v>1881</v>
      </c>
      <c r="D152" t="s">
        <v>461</v>
      </c>
      <c r="E152">
        <v>2.25</v>
      </c>
      <c r="F152">
        <v>3150</v>
      </c>
      <c r="G152" t="s">
        <v>62</v>
      </c>
      <c r="H152">
        <v>216</v>
      </c>
      <c r="I152" t="s">
        <v>11</v>
      </c>
      <c r="J152" s="1">
        <v>43740</v>
      </c>
      <c r="K152">
        <v>60</v>
      </c>
      <c r="L152">
        <v>41</v>
      </c>
      <c r="M152" s="1">
        <v>45014</v>
      </c>
      <c r="N152">
        <f t="shared" si="14"/>
        <v>41.770491803278688</v>
      </c>
      <c r="O152" s="1">
        <f t="shared" si="15"/>
        <v>43740</v>
      </c>
      <c r="P152">
        <v>6</v>
      </c>
      <c r="Q152" s="3">
        <v>11</v>
      </c>
      <c r="R152" s="3">
        <v>7.8</v>
      </c>
      <c r="S152" t="s">
        <v>606</v>
      </c>
      <c r="T152" t="str">
        <f t="shared" si="18"/>
        <v>484/20/G</v>
      </c>
      <c r="U152">
        <v>14</v>
      </c>
      <c r="V152">
        <v>7</v>
      </c>
    </row>
    <row r="153" spans="1:22" x14ac:dyDescent="0.25">
      <c r="A153" t="s">
        <v>467</v>
      </c>
      <c r="B153" t="s">
        <v>55</v>
      </c>
      <c r="C153">
        <v>1881</v>
      </c>
      <c r="D153" t="s">
        <v>461</v>
      </c>
      <c r="E153">
        <v>2.25</v>
      </c>
      <c r="F153">
        <v>3150</v>
      </c>
      <c r="G153" t="s">
        <v>63</v>
      </c>
      <c r="H153">
        <v>219</v>
      </c>
      <c r="I153" t="s">
        <v>11</v>
      </c>
      <c r="J153" s="1">
        <v>43740</v>
      </c>
      <c r="K153">
        <v>60</v>
      </c>
      <c r="L153">
        <v>41</v>
      </c>
      <c r="M153" s="1">
        <v>45014</v>
      </c>
      <c r="N153">
        <f t="shared" si="14"/>
        <v>41.770491803278688</v>
      </c>
      <c r="O153" s="1">
        <f t="shared" si="15"/>
        <v>43740</v>
      </c>
      <c r="P153">
        <v>6</v>
      </c>
      <c r="Q153" s="3">
        <v>11</v>
      </c>
      <c r="R153" s="3">
        <v>7.8</v>
      </c>
      <c r="S153" t="s">
        <v>607</v>
      </c>
      <c r="T153" t="str">
        <f t="shared" si="18"/>
        <v>447/19/G</v>
      </c>
      <c r="U153">
        <v>14</v>
      </c>
      <c r="V153">
        <v>7</v>
      </c>
    </row>
    <row r="154" spans="1:22" x14ac:dyDescent="0.25">
      <c r="A154" t="s">
        <v>467</v>
      </c>
      <c r="B154" t="s">
        <v>55</v>
      </c>
      <c r="C154">
        <v>1881</v>
      </c>
      <c r="D154" t="s">
        <v>461</v>
      </c>
      <c r="E154">
        <v>2.25</v>
      </c>
      <c r="F154">
        <v>3150</v>
      </c>
      <c r="G154" t="s">
        <v>64</v>
      </c>
      <c r="H154">
        <v>185</v>
      </c>
      <c r="I154" t="s">
        <v>11</v>
      </c>
      <c r="J154" s="1">
        <v>43832</v>
      </c>
      <c r="K154">
        <v>60</v>
      </c>
      <c r="L154">
        <v>38</v>
      </c>
      <c r="M154" s="1">
        <v>45014</v>
      </c>
      <c r="N154">
        <f t="shared" si="14"/>
        <v>38.754098360655739</v>
      </c>
      <c r="O154" s="1">
        <f t="shared" si="15"/>
        <v>43832</v>
      </c>
      <c r="P154">
        <v>6</v>
      </c>
      <c r="Q154" s="3">
        <v>11</v>
      </c>
      <c r="R154" s="3">
        <v>7.8</v>
      </c>
      <c r="S154" t="s">
        <v>608</v>
      </c>
      <c r="T154" t="str">
        <f t="shared" si="18"/>
        <v>612/19/G</v>
      </c>
      <c r="U154">
        <v>14</v>
      </c>
      <c r="V154">
        <v>7</v>
      </c>
    </row>
    <row r="155" spans="1:22" x14ac:dyDescent="0.25">
      <c r="A155" t="s">
        <v>467</v>
      </c>
      <c r="B155" t="s">
        <v>55</v>
      </c>
      <c r="C155">
        <v>1881</v>
      </c>
      <c r="D155" t="s">
        <v>461</v>
      </c>
      <c r="E155">
        <v>2.25</v>
      </c>
      <c r="F155">
        <v>3150</v>
      </c>
      <c r="G155" t="s">
        <v>65</v>
      </c>
      <c r="H155">
        <v>182</v>
      </c>
      <c r="I155" t="s">
        <v>11</v>
      </c>
      <c r="J155" s="1">
        <v>43916</v>
      </c>
      <c r="K155">
        <v>60</v>
      </c>
      <c r="L155">
        <v>36</v>
      </c>
      <c r="M155" s="1">
        <v>45014</v>
      </c>
      <c r="N155">
        <f t="shared" si="14"/>
        <v>36</v>
      </c>
      <c r="O155" s="1">
        <f t="shared" si="15"/>
        <v>43916</v>
      </c>
      <c r="P155">
        <v>6</v>
      </c>
      <c r="Q155" s="3">
        <v>11</v>
      </c>
      <c r="R155" s="3">
        <v>7.8</v>
      </c>
      <c r="S155" t="s">
        <v>609</v>
      </c>
      <c r="T155" t="str">
        <f t="shared" si="18"/>
        <v>148/20/G</v>
      </c>
      <c r="U155">
        <v>14</v>
      </c>
      <c r="V155">
        <v>7</v>
      </c>
    </row>
    <row r="156" spans="1:22" x14ac:dyDescent="0.25">
      <c r="A156" t="s">
        <v>467</v>
      </c>
      <c r="B156" t="s">
        <v>55</v>
      </c>
      <c r="C156">
        <v>1881</v>
      </c>
      <c r="D156" t="s">
        <v>461</v>
      </c>
      <c r="E156">
        <v>2.25</v>
      </c>
      <c r="F156">
        <v>3150</v>
      </c>
      <c r="G156" t="s">
        <v>66</v>
      </c>
      <c r="H156">
        <v>185</v>
      </c>
      <c r="I156" t="s">
        <v>11</v>
      </c>
      <c r="J156" s="1">
        <v>43082</v>
      </c>
      <c r="K156">
        <v>60</v>
      </c>
      <c r="L156">
        <v>63</v>
      </c>
      <c r="M156" s="1">
        <v>45014</v>
      </c>
      <c r="N156">
        <f t="shared" si="14"/>
        <v>63.344262295081968</v>
      </c>
      <c r="O156" s="1">
        <f t="shared" si="15"/>
        <v>43082</v>
      </c>
      <c r="P156">
        <v>6</v>
      </c>
      <c r="Q156" s="3">
        <v>11</v>
      </c>
      <c r="R156" s="3">
        <v>7.8</v>
      </c>
      <c r="S156" t="s">
        <v>610</v>
      </c>
      <c r="T156" t="str">
        <f t="shared" si="18"/>
        <v>151/20/G</v>
      </c>
      <c r="U156">
        <v>14</v>
      </c>
      <c r="V156">
        <v>7</v>
      </c>
    </row>
    <row r="157" spans="1:22" x14ac:dyDescent="0.25">
      <c r="A157" t="s">
        <v>467</v>
      </c>
      <c r="B157" t="s">
        <v>12</v>
      </c>
      <c r="C157">
        <v>2015</v>
      </c>
      <c r="D157" t="s">
        <v>461</v>
      </c>
      <c r="E157">
        <v>2.25</v>
      </c>
      <c r="F157">
        <v>3150</v>
      </c>
      <c r="G157" t="s">
        <v>158</v>
      </c>
      <c r="H157">
        <v>183</v>
      </c>
      <c r="I157" t="s">
        <v>11</v>
      </c>
      <c r="J157" s="1">
        <v>45019</v>
      </c>
      <c r="K157">
        <v>60</v>
      </c>
      <c r="L157">
        <v>0</v>
      </c>
      <c r="M157" s="1">
        <v>45041</v>
      </c>
      <c r="N157">
        <f t="shared" si="14"/>
        <v>0.72131147540983609</v>
      </c>
      <c r="O157" s="1">
        <f t="shared" si="15"/>
        <v>45019</v>
      </c>
      <c r="P157">
        <v>6</v>
      </c>
      <c r="Q157" s="3">
        <v>12</v>
      </c>
      <c r="R157" s="3">
        <v>7.8</v>
      </c>
      <c r="S157" t="s">
        <v>611</v>
      </c>
      <c r="T157" t="str">
        <f>S168</f>
        <v>117/23/G</v>
      </c>
      <c r="U157">
        <v>14</v>
      </c>
      <c r="V157">
        <v>7</v>
      </c>
    </row>
    <row r="158" spans="1:22" x14ac:dyDescent="0.25">
      <c r="A158" t="s">
        <v>467</v>
      </c>
      <c r="B158" t="s">
        <v>12</v>
      </c>
      <c r="C158">
        <v>2015</v>
      </c>
      <c r="D158" t="s">
        <v>461</v>
      </c>
      <c r="E158">
        <v>2.25</v>
      </c>
      <c r="F158">
        <v>3150</v>
      </c>
      <c r="G158" t="s">
        <v>159</v>
      </c>
      <c r="H158">
        <v>185</v>
      </c>
      <c r="I158" t="s">
        <v>11</v>
      </c>
      <c r="J158" s="1">
        <v>44819</v>
      </c>
      <c r="K158">
        <v>60</v>
      </c>
      <c r="L158">
        <v>64</v>
      </c>
      <c r="M158" s="1">
        <v>45041</v>
      </c>
      <c r="N158">
        <f t="shared" si="14"/>
        <v>7.278688524590164</v>
      </c>
      <c r="O158" s="1">
        <f t="shared" si="15"/>
        <v>43089</v>
      </c>
      <c r="P158">
        <v>6</v>
      </c>
      <c r="Q158" s="3">
        <v>12</v>
      </c>
      <c r="R158" s="3">
        <v>7.8</v>
      </c>
      <c r="S158" t="s">
        <v>612</v>
      </c>
      <c r="T158" t="str">
        <f>S157</f>
        <v>120/23/G</v>
      </c>
      <c r="U158">
        <v>14</v>
      </c>
      <c r="V158">
        <v>7</v>
      </c>
    </row>
    <row r="159" spans="1:22" x14ac:dyDescent="0.25">
      <c r="A159" t="s">
        <v>467</v>
      </c>
      <c r="B159" t="s">
        <v>12</v>
      </c>
      <c r="C159">
        <v>2015</v>
      </c>
      <c r="D159" t="s">
        <v>461</v>
      </c>
      <c r="E159">
        <v>2.25</v>
      </c>
      <c r="F159">
        <v>3150</v>
      </c>
      <c r="G159" t="s">
        <v>160</v>
      </c>
      <c r="H159">
        <v>200</v>
      </c>
      <c r="I159" t="s">
        <v>11</v>
      </c>
      <c r="J159" s="1">
        <v>44579</v>
      </c>
      <c r="K159">
        <v>60</v>
      </c>
      <c r="L159">
        <v>42</v>
      </c>
      <c r="M159" s="1">
        <v>45041</v>
      </c>
      <c r="N159">
        <f t="shared" si="14"/>
        <v>15.147540983606557</v>
      </c>
      <c r="O159" s="1">
        <f t="shared" si="15"/>
        <v>43760</v>
      </c>
      <c r="P159">
        <v>6</v>
      </c>
      <c r="Q159" s="3">
        <v>12</v>
      </c>
      <c r="R159" s="3">
        <v>7.8</v>
      </c>
      <c r="S159" t="s">
        <v>613</v>
      </c>
      <c r="T159" t="str">
        <f t="shared" ref="T159:T168" si="19">S158</f>
        <v>309/22/G</v>
      </c>
      <c r="U159">
        <v>14</v>
      </c>
      <c r="V159">
        <v>7</v>
      </c>
    </row>
    <row r="160" spans="1:22" x14ac:dyDescent="0.25">
      <c r="A160" t="s">
        <v>467</v>
      </c>
      <c r="B160" t="s">
        <v>12</v>
      </c>
      <c r="C160">
        <v>2015</v>
      </c>
      <c r="D160" t="s">
        <v>461</v>
      </c>
      <c r="E160">
        <v>2.25</v>
      </c>
      <c r="F160">
        <v>3150</v>
      </c>
      <c r="G160" t="s">
        <v>161</v>
      </c>
      <c r="H160">
        <v>199</v>
      </c>
      <c r="I160" t="s">
        <v>11</v>
      </c>
      <c r="J160" s="1">
        <v>44424</v>
      </c>
      <c r="K160">
        <v>60</v>
      </c>
      <c r="L160">
        <v>41</v>
      </c>
      <c r="M160" s="1">
        <v>45041</v>
      </c>
      <c r="N160">
        <f t="shared" si="14"/>
        <v>20.229508196721312</v>
      </c>
      <c r="O160" s="1">
        <f t="shared" si="15"/>
        <v>43790.5</v>
      </c>
      <c r="P160">
        <v>6</v>
      </c>
      <c r="Q160" s="3">
        <v>12</v>
      </c>
      <c r="R160" s="3">
        <v>7.8</v>
      </c>
      <c r="S160" t="s">
        <v>614</v>
      </c>
      <c r="T160" t="str">
        <f t="shared" si="19"/>
        <v>12/22/G</v>
      </c>
      <c r="U160">
        <v>14</v>
      </c>
      <c r="V160">
        <v>7</v>
      </c>
    </row>
    <row r="161" spans="1:22" x14ac:dyDescent="0.25">
      <c r="A161" t="s">
        <v>467</v>
      </c>
      <c r="B161" t="s">
        <v>12</v>
      </c>
      <c r="C161">
        <v>2015</v>
      </c>
      <c r="D161" t="s">
        <v>461</v>
      </c>
      <c r="E161">
        <v>2.25</v>
      </c>
      <c r="F161">
        <v>3150</v>
      </c>
      <c r="G161" t="s">
        <v>162</v>
      </c>
      <c r="H161">
        <v>106</v>
      </c>
      <c r="I161" t="s">
        <v>11</v>
      </c>
      <c r="J161" s="1">
        <v>44879</v>
      </c>
      <c r="K161">
        <v>60</v>
      </c>
      <c r="L161">
        <v>104</v>
      </c>
      <c r="M161" s="1">
        <v>45041</v>
      </c>
      <c r="N161">
        <f t="shared" si="14"/>
        <v>5.3114754098360653</v>
      </c>
      <c r="O161" s="1">
        <f t="shared" si="15"/>
        <v>41869</v>
      </c>
      <c r="P161">
        <v>6</v>
      </c>
      <c r="Q161" s="3">
        <v>12</v>
      </c>
      <c r="R161" s="3">
        <v>7.8</v>
      </c>
      <c r="S161" t="s">
        <v>615</v>
      </c>
      <c r="T161" t="str">
        <f t="shared" si="19"/>
        <v>389/22/G</v>
      </c>
      <c r="U161">
        <v>14</v>
      </c>
      <c r="V161">
        <v>7</v>
      </c>
    </row>
    <row r="162" spans="1:22" x14ac:dyDescent="0.25">
      <c r="A162" t="s">
        <v>467</v>
      </c>
      <c r="B162" t="s">
        <v>12</v>
      </c>
      <c r="C162">
        <v>2015</v>
      </c>
      <c r="D162" t="s">
        <v>461</v>
      </c>
      <c r="E162">
        <v>2.25</v>
      </c>
      <c r="F162">
        <v>3150</v>
      </c>
      <c r="G162" t="s">
        <v>163</v>
      </c>
      <c r="H162">
        <v>79</v>
      </c>
      <c r="I162" t="s">
        <v>11</v>
      </c>
      <c r="J162" s="1">
        <v>44879</v>
      </c>
      <c r="K162">
        <v>60</v>
      </c>
      <c r="L162">
        <v>104</v>
      </c>
      <c r="M162" s="1">
        <v>45041</v>
      </c>
      <c r="N162">
        <f t="shared" si="14"/>
        <v>5.3114754098360653</v>
      </c>
      <c r="O162" s="1">
        <f t="shared" si="15"/>
        <v>41869</v>
      </c>
      <c r="P162">
        <v>6</v>
      </c>
      <c r="Q162" s="3">
        <v>12</v>
      </c>
      <c r="R162" s="3">
        <v>7.8</v>
      </c>
      <c r="S162" t="s">
        <v>616</v>
      </c>
      <c r="T162" t="str">
        <f t="shared" si="19"/>
        <v>674/13/G</v>
      </c>
      <c r="U162">
        <v>14</v>
      </c>
      <c r="V162">
        <v>7</v>
      </c>
    </row>
    <row r="163" spans="1:22" x14ac:dyDescent="0.25">
      <c r="A163" t="s">
        <v>467</v>
      </c>
      <c r="B163" t="s">
        <v>12</v>
      </c>
      <c r="C163">
        <v>2015</v>
      </c>
      <c r="D163" t="s">
        <v>461</v>
      </c>
      <c r="E163">
        <v>2.25</v>
      </c>
      <c r="F163">
        <v>3150</v>
      </c>
      <c r="G163" t="s">
        <v>164</v>
      </c>
      <c r="H163">
        <v>85</v>
      </c>
      <c r="I163" t="s">
        <v>11</v>
      </c>
      <c r="J163" s="1">
        <v>44138</v>
      </c>
      <c r="K163">
        <v>60</v>
      </c>
      <c r="L163">
        <v>29</v>
      </c>
      <c r="M163" s="1">
        <v>45041</v>
      </c>
      <c r="N163">
        <f t="shared" si="14"/>
        <v>29.606557377049182</v>
      </c>
      <c r="O163" s="1">
        <f t="shared" si="15"/>
        <v>44138</v>
      </c>
      <c r="P163">
        <v>6</v>
      </c>
      <c r="Q163" s="3">
        <v>12</v>
      </c>
      <c r="R163" s="3">
        <v>7.8</v>
      </c>
      <c r="S163" t="s">
        <v>617</v>
      </c>
      <c r="T163" t="str">
        <f t="shared" si="19"/>
        <v>391/22/G</v>
      </c>
      <c r="U163">
        <v>14</v>
      </c>
      <c r="V163">
        <v>7</v>
      </c>
    </row>
    <row r="164" spans="1:22" x14ac:dyDescent="0.25">
      <c r="A164" t="s">
        <v>467</v>
      </c>
      <c r="B164" t="s">
        <v>12</v>
      </c>
      <c r="C164">
        <v>2015</v>
      </c>
      <c r="D164" t="s">
        <v>461</v>
      </c>
      <c r="E164">
        <v>2.25</v>
      </c>
      <c r="F164">
        <v>3150</v>
      </c>
      <c r="G164" t="s">
        <v>165</v>
      </c>
      <c r="H164">
        <v>245</v>
      </c>
      <c r="I164" t="s">
        <v>11</v>
      </c>
      <c r="J164" s="1">
        <v>44138</v>
      </c>
      <c r="K164">
        <v>60</v>
      </c>
      <c r="L164">
        <v>29</v>
      </c>
      <c r="M164" s="1">
        <v>45041</v>
      </c>
      <c r="N164">
        <f t="shared" si="14"/>
        <v>29.606557377049182</v>
      </c>
      <c r="O164" s="1">
        <f t="shared" si="15"/>
        <v>44138</v>
      </c>
      <c r="P164">
        <v>6</v>
      </c>
      <c r="Q164" s="3">
        <v>12</v>
      </c>
      <c r="R164" s="3">
        <v>7.8</v>
      </c>
      <c r="S164" t="s">
        <v>618</v>
      </c>
      <c r="T164" t="str">
        <f t="shared" si="19"/>
        <v>482/20/G</v>
      </c>
      <c r="U164">
        <v>14</v>
      </c>
      <c r="V164">
        <v>7</v>
      </c>
    </row>
    <row r="165" spans="1:22" x14ac:dyDescent="0.25">
      <c r="A165" t="s">
        <v>467</v>
      </c>
      <c r="B165" t="s">
        <v>12</v>
      </c>
      <c r="C165">
        <v>2015</v>
      </c>
      <c r="D165" t="s">
        <v>461</v>
      </c>
      <c r="E165">
        <v>2.25</v>
      </c>
      <c r="F165">
        <v>3150</v>
      </c>
      <c r="G165" t="s">
        <v>166</v>
      </c>
      <c r="H165">
        <v>182</v>
      </c>
      <c r="I165" t="s">
        <v>11</v>
      </c>
      <c r="J165" s="1">
        <v>44666</v>
      </c>
      <c r="K165">
        <v>60</v>
      </c>
      <c r="L165">
        <v>12</v>
      </c>
      <c r="M165" s="1">
        <v>45041</v>
      </c>
      <c r="N165">
        <f t="shared" si="14"/>
        <v>12.295081967213115</v>
      </c>
      <c r="O165" s="1">
        <f t="shared" si="15"/>
        <v>44666</v>
      </c>
      <c r="P165">
        <v>6</v>
      </c>
      <c r="Q165" s="3">
        <v>12</v>
      </c>
      <c r="R165" s="3">
        <v>7.8</v>
      </c>
      <c r="S165" t="s">
        <v>619</v>
      </c>
      <c r="T165" t="str">
        <f t="shared" si="19"/>
        <v>116/22/G</v>
      </c>
      <c r="U165">
        <v>14</v>
      </c>
      <c r="V165">
        <v>7</v>
      </c>
    </row>
    <row r="166" spans="1:22" x14ac:dyDescent="0.25">
      <c r="A166" t="s">
        <v>467</v>
      </c>
      <c r="B166" t="s">
        <v>12</v>
      </c>
      <c r="C166">
        <v>2015</v>
      </c>
      <c r="D166" t="s">
        <v>461</v>
      </c>
      <c r="E166">
        <v>2.25</v>
      </c>
      <c r="F166">
        <v>3150</v>
      </c>
      <c r="G166" t="s">
        <v>167</v>
      </c>
      <c r="H166">
        <v>193</v>
      </c>
      <c r="I166" t="s">
        <v>11</v>
      </c>
      <c r="J166" s="1">
        <v>44666</v>
      </c>
      <c r="K166">
        <v>60</v>
      </c>
      <c r="L166">
        <v>12</v>
      </c>
      <c r="M166" s="1">
        <v>45041</v>
      </c>
      <c r="N166">
        <f t="shared" si="14"/>
        <v>12.295081967213115</v>
      </c>
      <c r="O166" s="1">
        <f t="shared" si="15"/>
        <v>44666</v>
      </c>
      <c r="P166">
        <v>6</v>
      </c>
      <c r="Q166" s="3">
        <v>12</v>
      </c>
      <c r="R166" s="3">
        <v>7.8</v>
      </c>
      <c r="S166" t="s">
        <v>620</v>
      </c>
      <c r="T166" t="str">
        <f t="shared" si="19"/>
        <v>118/22/G</v>
      </c>
      <c r="U166">
        <v>14</v>
      </c>
      <c r="V166">
        <v>7</v>
      </c>
    </row>
    <row r="167" spans="1:22" x14ac:dyDescent="0.25">
      <c r="A167" t="s">
        <v>467</v>
      </c>
      <c r="B167" t="s">
        <v>12</v>
      </c>
      <c r="C167">
        <v>2015</v>
      </c>
      <c r="D167" t="s">
        <v>461</v>
      </c>
      <c r="E167">
        <v>2.25</v>
      </c>
      <c r="F167">
        <v>3150</v>
      </c>
      <c r="G167" t="s">
        <v>168</v>
      </c>
      <c r="H167">
        <v>179</v>
      </c>
      <c r="I167" s="2" t="s">
        <v>11</v>
      </c>
      <c r="J167" s="1">
        <v>44747</v>
      </c>
      <c r="K167">
        <v>60</v>
      </c>
      <c r="L167">
        <v>9</v>
      </c>
      <c r="M167" s="1">
        <v>45041</v>
      </c>
      <c r="N167">
        <f t="shared" si="14"/>
        <v>9.6393442622950811</v>
      </c>
      <c r="O167" s="1">
        <f t="shared" si="15"/>
        <v>44747</v>
      </c>
      <c r="P167">
        <v>6</v>
      </c>
      <c r="Q167" s="3">
        <v>12</v>
      </c>
      <c r="R167" s="3">
        <v>7.8</v>
      </c>
      <c r="S167" t="s">
        <v>621</v>
      </c>
      <c r="T167" t="str">
        <f t="shared" si="19"/>
        <v>217/22/G</v>
      </c>
      <c r="U167">
        <v>14</v>
      </c>
      <c r="V167">
        <v>7</v>
      </c>
    </row>
    <row r="168" spans="1:22" x14ac:dyDescent="0.25">
      <c r="A168" t="s">
        <v>467</v>
      </c>
      <c r="B168" t="s">
        <v>12</v>
      </c>
      <c r="C168">
        <v>2015</v>
      </c>
      <c r="D168" t="s">
        <v>461</v>
      </c>
      <c r="E168">
        <v>2.25</v>
      </c>
      <c r="F168">
        <v>3150</v>
      </c>
      <c r="G168" t="s">
        <v>169</v>
      </c>
      <c r="H168">
        <v>179</v>
      </c>
      <c r="I168" t="s">
        <v>11</v>
      </c>
      <c r="J168" s="1">
        <v>44946</v>
      </c>
      <c r="K168">
        <v>60</v>
      </c>
      <c r="L168">
        <v>3</v>
      </c>
      <c r="M168" s="1">
        <v>45041</v>
      </c>
      <c r="N168">
        <f t="shared" si="14"/>
        <v>3.1147540983606556</v>
      </c>
      <c r="O168" s="1">
        <f t="shared" si="15"/>
        <v>44946</v>
      </c>
      <c r="P168">
        <v>6</v>
      </c>
      <c r="Q168" s="3">
        <v>12</v>
      </c>
      <c r="R168" s="3">
        <v>7.8</v>
      </c>
      <c r="S168" t="s">
        <v>622</v>
      </c>
      <c r="T168" t="str">
        <f t="shared" si="19"/>
        <v>14/23/G</v>
      </c>
      <c r="U168">
        <v>14</v>
      </c>
      <c r="V168">
        <v>7</v>
      </c>
    </row>
    <row r="169" spans="1:22" x14ac:dyDescent="0.25">
      <c r="A169" t="s">
        <v>467</v>
      </c>
      <c r="B169" t="s">
        <v>395</v>
      </c>
      <c r="C169">
        <v>2516</v>
      </c>
      <c r="D169" t="s">
        <v>479</v>
      </c>
      <c r="E169">
        <v>1.8</v>
      </c>
      <c r="F169">
        <v>3150</v>
      </c>
      <c r="G169" t="s">
        <v>396</v>
      </c>
      <c r="H169">
        <v>95</v>
      </c>
      <c r="I169" t="s">
        <v>42</v>
      </c>
      <c r="J169" s="1">
        <v>41968</v>
      </c>
      <c r="K169">
        <v>72</v>
      </c>
      <c r="L169">
        <v>104</v>
      </c>
      <c r="M169" s="1">
        <v>45124</v>
      </c>
      <c r="N169">
        <f t="shared" si="14"/>
        <v>103.47540983606558</v>
      </c>
      <c r="O169" s="1">
        <f t="shared" si="15"/>
        <v>41968</v>
      </c>
      <c r="P169">
        <v>6</v>
      </c>
      <c r="Q169" s="3">
        <v>13</v>
      </c>
      <c r="R169" s="3">
        <v>7.8</v>
      </c>
      <c r="S169" t="s">
        <v>705</v>
      </c>
      <c r="T169" t="str">
        <f>S181</f>
        <v>324/21/G</v>
      </c>
      <c r="U169">
        <v>14</v>
      </c>
      <c r="V169">
        <v>7</v>
      </c>
    </row>
    <row r="170" spans="1:22" x14ac:dyDescent="0.25">
      <c r="A170" t="s">
        <v>467</v>
      </c>
      <c r="B170" t="s">
        <v>395</v>
      </c>
      <c r="C170">
        <v>2516</v>
      </c>
      <c r="D170" t="s">
        <v>479</v>
      </c>
      <c r="E170">
        <v>1.8</v>
      </c>
      <c r="F170">
        <v>3150</v>
      </c>
      <c r="G170" t="s">
        <v>397</v>
      </c>
      <c r="H170">
        <v>242</v>
      </c>
      <c r="I170" t="s">
        <v>42</v>
      </c>
      <c r="J170" s="1">
        <v>43427</v>
      </c>
      <c r="K170">
        <v>72</v>
      </c>
      <c r="L170">
        <v>86</v>
      </c>
      <c r="M170" s="1">
        <v>45124</v>
      </c>
      <c r="N170">
        <f t="shared" si="14"/>
        <v>55.639344262295083</v>
      </c>
      <c r="O170" s="1">
        <f t="shared" si="15"/>
        <v>42501</v>
      </c>
      <c r="P170">
        <v>6</v>
      </c>
      <c r="Q170" s="3">
        <v>13</v>
      </c>
      <c r="R170" s="3">
        <v>7.8</v>
      </c>
      <c r="S170" t="s">
        <v>706</v>
      </c>
      <c r="T170" t="str">
        <f>S169</f>
        <v>576/18/G</v>
      </c>
      <c r="U170">
        <v>14</v>
      </c>
      <c r="V170">
        <v>7</v>
      </c>
    </row>
    <row r="171" spans="1:22" x14ac:dyDescent="0.25">
      <c r="A171" t="s">
        <v>467</v>
      </c>
      <c r="B171" t="s">
        <v>395</v>
      </c>
      <c r="C171">
        <v>2516</v>
      </c>
      <c r="D171" t="s">
        <v>479</v>
      </c>
      <c r="E171">
        <v>1.8</v>
      </c>
      <c r="F171">
        <v>3150</v>
      </c>
      <c r="G171" t="s">
        <v>398</v>
      </c>
      <c r="H171">
        <v>104</v>
      </c>
      <c r="I171" t="s">
        <v>42</v>
      </c>
      <c r="J171" s="1">
        <v>43427</v>
      </c>
      <c r="K171">
        <v>72</v>
      </c>
      <c r="L171">
        <v>62</v>
      </c>
      <c r="M171" s="1">
        <v>45124</v>
      </c>
      <c r="N171">
        <f t="shared" si="14"/>
        <v>55.639344262295083</v>
      </c>
      <c r="O171" s="1">
        <f t="shared" si="15"/>
        <v>43233</v>
      </c>
      <c r="P171">
        <v>6</v>
      </c>
      <c r="Q171" s="3">
        <v>13</v>
      </c>
      <c r="R171" s="3">
        <v>7.8</v>
      </c>
      <c r="S171" t="s">
        <v>707</v>
      </c>
      <c r="T171" t="str">
        <f t="shared" ref="T171:T181" si="20">S170</f>
        <v>575/18/G</v>
      </c>
      <c r="U171">
        <v>14</v>
      </c>
      <c r="V171">
        <v>7</v>
      </c>
    </row>
    <row r="172" spans="1:22" x14ac:dyDescent="0.25">
      <c r="A172" t="s">
        <v>467</v>
      </c>
      <c r="B172" t="s">
        <v>395</v>
      </c>
      <c r="C172">
        <v>2516</v>
      </c>
      <c r="D172" t="s">
        <v>479</v>
      </c>
      <c r="E172">
        <v>1.8</v>
      </c>
      <c r="F172">
        <v>3150</v>
      </c>
      <c r="G172" t="s">
        <v>399</v>
      </c>
      <c r="H172">
        <v>204</v>
      </c>
      <c r="I172" t="s">
        <v>28</v>
      </c>
      <c r="J172" s="1">
        <v>43427</v>
      </c>
      <c r="K172">
        <v>72</v>
      </c>
      <c r="L172">
        <v>61</v>
      </c>
      <c r="M172" s="1">
        <v>45124</v>
      </c>
      <c r="N172">
        <f t="shared" si="14"/>
        <v>55.639344262295083</v>
      </c>
      <c r="O172" s="1">
        <f t="shared" si="15"/>
        <v>43263.5</v>
      </c>
      <c r="P172">
        <v>6</v>
      </c>
      <c r="Q172" s="3">
        <v>13</v>
      </c>
      <c r="R172" s="3">
        <v>7.8</v>
      </c>
      <c r="S172" t="s">
        <v>708</v>
      </c>
      <c r="T172" t="str">
        <f t="shared" si="20"/>
        <v>581/18/G</v>
      </c>
      <c r="U172">
        <v>14</v>
      </c>
      <c r="V172">
        <v>7</v>
      </c>
    </row>
    <row r="173" spans="1:22" x14ac:dyDescent="0.25">
      <c r="A173" t="s">
        <v>467</v>
      </c>
      <c r="B173" t="s">
        <v>395</v>
      </c>
      <c r="C173">
        <v>2516</v>
      </c>
      <c r="D173" t="s">
        <v>479</v>
      </c>
      <c r="E173">
        <v>1.8</v>
      </c>
      <c r="F173">
        <v>3150</v>
      </c>
      <c r="G173" t="s">
        <v>400</v>
      </c>
      <c r="H173">
        <v>139</v>
      </c>
      <c r="I173" t="s">
        <v>11</v>
      </c>
      <c r="J173" s="1">
        <v>44176</v>
      </c>
      <c r="K173">
        <v>90</v>
      </c>
      <c r="L173">
        <v>149</v>
      </c>
      <c r="M173" s="1">
        <v>45124</v>
      </c>
      <c r="N173">
        <f t="shared" si="14"/>
        <v>31.081967213114755</v>
      </c>
      <c r="O173" s="1">
        <f t="shared" si="15"/>
        <v>40579.5</v>
      </c>
      <c r="P173">
        <v>6</v>
      </c>
      <c r="Q173" s="3">
        <v>13</v>
      </c>
      <c r="R173" s="3">
        <v>7.8</v>
      </c>
      <c r="S173" t="s">
        <v>709</v>
      </c>
      <c r="T173" t="str">
        <f t="shared" si="20"/>
        <v>564/20/G</v>
      </c>
      <c r="U173">
        <v>14</v>
      </c>
      <c r="V173">
        <v>7</v>
      </c>
    </row>
    <row r="174" spans="1:22" x14ac:dyDescent="0.25">
      <c r="A174" t="s">
        <v>467</v>
      </c>
      <c r="B174" t="s">
        <v>395</v>
      </c>
      <c r="C174">
        <v>2516</v>
      </c>
      <c r="D174" t="s">
        <v>479</v>
      </c>
      <c r="E174">
        <v>1.8</v>
      </c>
      <c r="F174">
        <v>3150</v>
      </c>
      <c r="G174" t="s">
        <v>401</v>
      </c>
      <c r="H174">
        <v>136</v>
      </c>
      <c r="I174" t="s">
        <v>11</v>
      </c>
      <c r="J174" s="1">
        <v>44176</v>
      </c>
      <c r="K174">
        <v>90</v>
      </c>
      <c r="L174">
        <v>108</v>
      </c>
      <c r="M174" s="1">
        <v>45124</v>
      </c>
      <c r="N174">
        <f t="shared" si="14"/>
        <v>31.081967213114755</v>
      </c>
      <c r="O174" s="1">
        <f t="shared" si="15"/>
        <v>41830</v>
      </c>
      <c r="P174">
        <v>6</v>
      </c>
      <c r="Q174" s="3">
        <v>13</v>
      </c>
      <c r="R174" s="3">
        <v>7.8</v>
      </c>
      <c r="S174" t="s">
        <v>710</v>
      </c>
      <c r="T174" t="str">
        <f t="shared" si="20"/>
        <v>558/20/G</v>
      </c>
      <c r="U174">
        <v>14</v>
      </c>
      <c r="V174">
        <v>7</v>
      </c>
    </row>
    <row r="175" spans="1:22" x14ac:dyDescent="0.25">
      <c r="A175" t="s">
        <v>467</v>
      </c>
      <c r="B175" t="s">
        <v>395</v>
      </c>
      <c r="C175">
        <v>2516</v>
      </c>
      <c r="D175" t="s">
        <v>479</v>
      </c>
      <c r="E175">
        <v>1.8</v>
      </c>
      <c r="F175">
        <v>3150</v>
      </c>
      <c r="G175" t="s">
        <v>402</v>
      </c>
      <c r="H175">
        <v>100</v>
      </c>
      <c r="I175" t="s">
        <v>11</v>
      </c>
      <c r="J175" s="1">
        <v>44176</v>
      </c>
      <c r="K175">
        <v>90</v>
      </c>
      <c r="L175">
        <v>108</v>
      </c>
      <c r="M175" s="1">
        <v>45124</v>
      </c>
      <c r="N175">
        <f t="shared" si="14"/>
        <v>31.081967213114755</v>
      </c>
      <c r="O175" s="1">
        <f t="shared" si="15"/>
        <v>41830</v>
      </c>
      <c r="P175">
        <v>6</v>
      </c>
      <c r="Q175" s="3">
        <v>13</v>
      </c>
      <c r="R175" s="3">
        <v>7.8</v>
      </c>
      <c r="S175" t="s">
        <v>711</v>
      </c>
      <c r="T175" t="str">
        <f t="shared" si="20"/>
        <v>323/21/G</v>
      </c>
      <c r="U175">
        <v>14</v>
      </c>
      <c r="V175">
        <v>7</v>
      </c>
    </row>
    <row r="176" spans="1:22" x14ac:dyDescent="0.25">
      <c r="A176" t="s">
        <v>467</v>
      </c>
      <c r="B176" t="s">
        <v>395</v>
      </c>
      <c r="C176">
        <v>2516</v>
      </c>
      <c r="D176" t="s">
        <v>479</v>
      </c>
      <c r="E176">
        <v>1.8</v>
      </c>
      <c r="F176">
        <v>3150</v>
      </c>
      <c r="G176" t="s">
        <v>403</v>
      </c>
      <c r="H176">
        <v>246</v>
      </c>
      <c r="I176" t="s">
        <v>11</v>
      </c>
      <c r="J176" s="1">
        <v>41968</v>
      </c>
      <c r="K176">
        <v>90</v>
      </c>
      <c r="L176">
        <v>104</v>
      </c>
      <c r="M176" s="1">
        <v>45124</v>
      </c>
      <c r="N176">
        <f t="shared" si="14"/>
        <v>103.47540983606558</v>
      </c>
      <c r="O176" s="1">
        <f t="shared" si="15"/>
        <v>41968</v>
      </c>
      <c r="P176">
        <v>6</v>
      </c>
      <c r="Q176" s="3">
        <v>13</v>
      </c>
      <c r="R176" s="3">
        <v>7.8</v>
      </c>
      <c r="S176" t="s">
        <v>712</v>
      </c>
      <c r="T176" t="str">
        <f t="shared" si="20"/>
        <v>567/20/G</v>
      </c>
      <c r="U176">
        <v>14</v>
      </c>
      <c r="V176">
        <v>7</v>
      </c>
    </row>
    <row r="177" spans="1:22" x14ac:dyDescent="0.25">
      <c r="A177" t="s">
        <v>467</v>
      </c>
      <c r="B177" t="s">
        <v>395</v>
      </c>
      <c r="C177">
        <v>2516</v>
      </c>
      <c r="D177" t="s">
        <v>479</v>
      </c>
      <c r="E177">
        <v>1.8</v>
      </c>
      <c r="F177">
        <v>3150</v>
      </c>
      <c r="G177" t="s">
        <v>404</v>
      </c>
      <c r="H177">
        <v>257</v>
      </c>
      <c r="I177" t="s">
        <v>11</v>
      </c>
      <c r="J177" s="1">
        <v>41968</v>
      </c>
      <c r="K177">
        <v>90</v>
      </c>
      <c r="L177">
        <v>104</v>
      </c>
      <c r="M177" s="1">
        <v>45124</v>
      </c>
      <c r="N177">
        <f t="shared" si="14"/>
        <v>103.47540983606558</v>
      </c>
      <c r="O177" s="1">
        <f t="shared" si="15"/>
        <v>41968</v>
      </c>
      <c r="P177">
        <v>6</v>
      </c>
      <c r="Q177" s="3">
        <v>13</v>
      </c>
      <c r="R177" s="3">
        <v>7.8</v>
      </c>
      <c r="S177" t="s">
        <v>713</v>
      </c>
      <c r="T177" t="str">
        <f t="shared" si="20"/>
        <v>583/14/G</v>
      </c>
      <c r="U177">
        <v>14</v>
      </c>
      <c r="V177">
        <v>7</v>
      </c>
    </row>
    <row r="178" spans="1:22" x14ac:dyDescent="0.25">
      <c r="A178" t="s">
        <v>467</v>
      </c>
      <c r="B178" t="s">
        <v>395</v>
      </c>
      <c r="C178">
        <v>2516</v>
      </c>
      <c r="D178" t="s">
        <v>479</v>
      </c>
      <c r="E178">
        <v>1.8</v>
      </c>
      <c r="F178">
        <v>3150</v>
      </c>
      <c r="G178" t="s">
        <v>405</v>
      </c>
      <c r="H178">
        <v>249</v>
      </c>
      <c r="I178" t="s">
        <v>11</v>
      </c>
      <c r="J178" s="1">
        <v>41968</v>
      </c>
      <c r="K178">
        <v>90</v>
      </c>
      <c r="L178">
        <v>104</v>
      </c>
      <c r="M178" s="1">
        <v>45124</v>
      </c>
      <c r="N178">
        <f t="shared" si="14"/>
        <v>103.47540983606558</v>
      </c>
      <c r="O178" s="1">
        <f t="shared" si="15"/>
        <v>41968</v>
      </c>
      <c r="P178">
        <v>6</v>
      </c>
      <c r="Q178" s="3">
        <v>13</v>
      </c>
      <c r="R178" s="3">
        <v>7.8</v>
      </c>
      <c r="S178" t="s">
        <v>714</v>
      </c>
      <c r="T178" t="str">
        <f t="shared" si="20"/>
        <v>578/14/G</v>
      </c>
      <c r="U178">
        <v>14</v>
      </c>
      <c r="V178">
        <v>7</v>
      </c>
    </row>
    <row r="179" spans="1:22" x14ac:dyDescent="0.25">
      <c r="A179" t="s">
        <v>467</v>
      </c>
      <c r="B179" t="s">
        <v>395</v>
      </c>
      <c r="C179">
        <v>2516</v>
      </c>
      <c r="D179" t="s">
        <v>479</v>
      </c>
      <c r="E179">
        <v>1.8</v>
      </c>
      <c r="F179">
        <v>3150</v>
      </c>
      <c r="G179" t="s">
        <v>406</v>
      </c>
      <c r="H179">
        <v>248</v>
      </c>
      <c r="I179" t="s">
        <v>11</v>
      </c>
      <c r="J179" s="1">
        <v>41968</v>
      </c>
      <c r="K179">
        <v>90</v>
      </c>
      <c r="L179">
        <v>104</v>
      </c>
      <c r="M179" s="1">
        <v>45124</v>
      </c>
      <c r="N179">
        <f t="shared" si="14"/>
        <v>103.47540983606558</v>
      </c>
      <c r="O179" s="1">
        <f t="shared" si="15"/>
        <v>41968</v>
      </c>
      <c r="P179">
        <v>6</v>
      </c>
      <c r="Q179" s="3">
        <v>13</v>
      </c>
      <c r="R179" s="3">
        <v>7.8</v>
      </c>
      <c r="S179" t="s">
        <v>715</v>
      </c>
      <c r="T179" t="str">
        <f t="shared" si="20"/>
        <v>579/14/G</v>
      </c>
      <c r="U179">
        <v>14</v>
      </c>
      <c r="V179">
        <v>7</v>
      </c>
    </row>
    <row r="180" spans="1:22" x14ac:dyDescent="0.25">
      <c r="A180" t="s">
        <v>467</v>
      </c>
      <c r="B180" t="s">
        <v>395</v>
      </c>
      <c r="C180">
        <v>2516</v>
      </c>
      <c r="D180" t="s">
        <v>479</v>
      </c>
      <c r="E180">
        <v>1.8</v>
      </c>
      <c r="F180">
        <v>3150</v>
      </c>
      <c r="G180" t="s">
        <v>407</v>
      </c>
      <c r="H180">
        <v>247</v>
      </c>
      <c r="I180" t="s">
        <v>11</v>
      </c>
      <c r="J180" s="1">
        <v>41968</v>
      </c>
      <c r="K180">
        <v>90</v>
      </c>
      <c r="L180">
        <v>104</v>
      </c>
      <c r="M180" s="1">
        <v>45124</v>
      </c>
      <c r="N180">
        <f t="shared" si="14"/>
        <v>103.47540983606558</v>
      </c>
      <c r="O180" s="1">
        <f t="shared" si="15"/>
        <v>41968</v>
      </c>
      <c r="P180">
        <v>6</v>
      </c>
      <c r="Q180" s="3">
        <v>13</v>
      </c>
      <c r="R180" s="3">
        <v>7.8</v>
      </c>
      <c r="S180" t="s">
        <v>716</v>
      </c>
      <c r="T180" t="str">
        <f t="shared" si="20"/>
        <v>597/14/G</v>
      </c>
      <c r="U180">
        <v>14</v>
      </c>
      <c r="V180">
        <v>7</v>
      </c>
    </row>
    <row r="181" spans="1:22" x14ac:dyDescent="0.25">
      <c r="A181" t="s">
        <v>467</v>
      </c>
      <c r="B181" t="s">
        <v>395</v>
      </c>
      <c r="C181">
        <v>2516</v>
      </c>
      <c r="D181" t="s">
        <v>479</v>
      </c>
      <c r="E181">
        <v>1.8</v>
      </c>
      <c r="F181">
        <v>3150</v>
      </c>
      <c r="G181" t="s">
        <v>408</v>
      </c>
      <c r="H181">
        <v>249</v>
      </c>
      <c r="I181" t="s">
        <v>11</v>
      </c>
      <c r="J181" s="1">
        <v>44419</v>
      </c>
      <c r="K181">
        <v>90</v>
      </c>
      <c r="L181">
        <v>251</v>
      </c>
      <c r="M181" s="1">
        <v>45124</v>
      </c>
      <c r="N181">
        <f t="shared" si="14"/>
        <v>23.114754098360656</v>
      </c>
      <c r="O181" s="1">
        <f t="shared" si="15"/>
        <v>37468.5</v>
      </c>
      <c r="P181">
        <v>6</v>
      </c>
      <c r="Q181" s="3">
        <v>13</v>
      </c>
      <c r="R181" s="3">
        <v>7.8</v>
      </c>
      <c r="S181" t="s">
        <v>717</v>
      </c>
      <c r="T181" t="str">
        <f t="shared" si="20"/>
        <v>322/21/G</v>
      </c>
      <c r="U181">
        <v>14</v>
      </c>
      <c r="V181">
        <v>7</v>
      </c>
    </row>
    <row r="182" spans="1:22" x14ac:dyDescent="0.25">
      <c r="A182" t="s">
        <v>467</v>
      </c>
      <c r="B182" t="s">
        <v>253</v>
      </c>
      <c r="C182">
        <v>2975</v>
      </c>
      <c r="D182" t="s">
        <v>478</v>
      </c>
      <c r="E182">
        <v>1.8</v>
      </c>
      <c r="F182">
        <v>3150</v>
      </c>
      <c r="G182" t="s">
        <v>254</v>
      </c>
      <c r="H182">
        <v>229</v>
      </c>
      <c r="I182" t="s">
        <v>11</v>
      </c>
      <c r="J182" s="1">
        <v>44176</v>
      </c>
      <c r="K182">
        <v>120</v>
      </c>
      <c r="L182">
        <v>83</v>
      </c>
      <c r="M182" s="1">
        <v>44363</v>
      </c>
      <c r="N182">
        <f t="shared" si="14"/>
        <v>6.1311475409836067</v>
      </c>
      <c r="O182" s="1">
        <f t="shared" si="15"/>
        <v>41831.5</v>
      </c>
      <c r="P182">
        <v>6</v>
      </c>
      <c r="Q182" s="3">
        <v>23</v>
      </c>
      <c r="R182" s="3">
        <v>7.8</v>
      </c>
      <c r="S182" t="s">
        <v>623</v>
      </c>
      <c r="T182" t="str">
        <f>S204</f>
        <v>563/20/G</v>
      </c>
      <c r="U182">
        <v>14</v>
      </c>
      <c r="V182">
        <v>7</v>
      </c>
    </row>
    <row r="183" spans="1:22" x14ac:dyDescent="0.25">
      <c r="A183" t="s">
        <v>467</v>
      </c>
      <c r="B183" t="s">
        <v>253</v>
      </c>
      <c r="C183">
        <v>2975</v>
      </c>
      <c r="D183" t="s">
        <v>478</v>
      </c>
      <c r="E183">
        <v>1.8</v>
      </c>
      <c r="F183">
        <v>3150</v>
      </c>
      <c r="G183" t="s">
        <v>255</v>
      </c>
      <c r="H183">
        <v>131</v>
      </c>
      <c r="I183" t="s">
        <v>11</v>
      </c>
      <c r="J183" s="1">
        <v>43641</v>
      </c>
      <c r="K183">
        <v>120</v>
      </c>
      <c r="L183">
        <v>38</v>
      </c>
      <c r="M183" s="1">
        <v>44363</v>
      </c>
      <c r="N183">
        <f t="shared" si="14"/>
        <v>23.672131147540984</v>
      </c>
      <c r="O183" s="1">
        <f t="shared" si="15"/>
        <v>43204</v>
      </c>
      <c r="P183">
        <v>6</v>
      </c>
      <c r="Q183" s="3">
        <v>23</v>
      </c>
      <c r="R183" s="3">
        <v>7.8</v>
      </c>
      <c r="S183" t="s">
        <v>624</v>
      </c>
      <c r="T183" t="str">
        <f>S182</f>
        <v>565/20/G</v>
      </c>
      <c r="U183">
        <v>14</v>
      </c>
      <c r="V183">
        <v>7</v>
      </c>
    </row>
    <row r="184" spans="1:22" x14ac:dyDescent="0.25">
      <c r="A184" t="s">
        <v>467</v>
      </c>
      <c r="B184" t="s">
        <v>253</v>
      </c>
      <c r="C184">
        <v>2975</v>
      </c>
      <c r="D184" t="s">
        <v>478</v>
      </c>
      <c r="E184">
        <v>1.8</v>
      </c>
      <c r="F184">
        <v>3150</v>
      </c>
      <c r="G184" t="s">
        <v>256</v>
      </c>
      <c r="H184">
        <v>152</v>
      </c>
      <c r="I184" t="s">
        <v>11</v>
      </c>
      <c r="J184" s="1">
        <v>43369</v>
      </c>
      <c r="K184">
        <v>120</v>
      </c>
      <c r="L184">
        <v>125</v>
      </c>
      <c r="M184" s="1">
        <v>44363</v>
      </c>
      <c r="N184">
        <f t="shared" si="14"/>
        <v>32.590163934426229</v>
      </c>
      <c r="O184" s="1">
        <f t="shared" si="15"/>
        <v>40550.5</v>
      </c>
      <c r="P184">
        <v>6</v>
      </c>
      <c r="Q184" s="3">
        <v>23</v>
      </c>
      <c r="R184" s="3">
        <v>7.8</v>
      </c>
      <c r="S184" t="s">
        <v>625</v>
      </c>
      <c r="T184" t="str">
        <f t="shared" ref="T184:T204" si="21">S183</f>
        <v>290/19G</v>
      </c>
      <c r="U184">
        <v>14</v>
      </c>
      <c r="V184">
        <v>7</v>
      </c>
    </row>
    <row r="185" spans="1:22" x14ac:dyDescent="0.25">
      <c r="A185" t="s">
        <v>467</v>
      </c>
      <c r="B185" t="s">
        <v>253</v>
      </c>
      <c r="C185">
        <v>2975</v>
      </c>
      <c r="D185" t="s">
        <v>478</v>
      </c>
      <c r="E185">
        <v>1.8</v>
      </c>
      <c r="F185">
        <v>3150</v>
      </c>
      <c r="G185" t="s">
        <v>257</v>
      </c>
      <c r="H185">
        <v>127</v>
      </c>
      <c r="I185" t="s">
        <v>11</v>
      </c>
      <c r="J185" s="1">
        <v>43315</v>
      </c>
      <c r="K185">
        <v>120</v>
      </c>
      <c r="L185">
        <v>100</v>
      </c>
      <c r="M185" s="1">
        <v>44363</v>
      </c>
      <c r="N185">
        <f t="shared" si="14"/>
        <v>34.360655737704917</v>
      </c>
      <c r="O185" s="1">
        <f t="shared" si="15"/>
        <v>41313</v>
      </c>
      <c r="P185">
        <v>6</v>
      </c>
      <c r="Q185" s="3">
        <v>23</v>
      </c>
      <c r="R185" s="3">
        <v>7.8</v>
      </c>
      <c r="S185" t="s">
        <v>626</v>
      </c>
      <c r="T185" t="str">
        <f t="shared" si="21"/>
        <v>483/18/G</v>
      </c>
      <c r="U185">
        <v>14</v>
      </c>
      <c r="V185">
        <v>7</v>
      </c>
    </row>
    <row r="186" spans="1:22" x14ac:dyDescent="0.25">
      <c r="A186" t="s">
        <v>467</v>
      </c>
      <c r="B186" t="s">
        <v>253</v>
      </c>
      <c r="C186">
        <v>2975</v>
      </c>
      <c r="D186" t="s">
        <v>478</v>
      </c>
      <c r="E186">
        <v>1.8</v>
      </c>
      <c r="F186">
        <v>3150</v>
      </c>
      <c r="G186" t="s">
        <v>258</v>
      </c>
      <c r="H186">
        <v>117</v>
      </c>
      <c r="I186" t="s">
        <v>11</v>
      </c>
      <c r="J186" s="1">
        <v>43999</v>
      </c>
      <c r="K186">
        <v>120</v>
      </c>
      <c r="L186">
        <v>89</v>
      </c>
      <c r="M186" s="1">
        <v>44363</v>
      </c>
      <c r="N186">
        <f t="shared" si="14"/>
        <v>11.934426229508198</v>
      </c>
      <c r="O186" s="1">
        <f t="shared" si="15"/>
        <v>41648.5</v>
      </c>
      <c r="P186">
        <v>6</v>
      </c>
      <c r="Q186" s="3">
        <v>23</v>
      </c>
      <c r="R186" s="3">
        <v>7.8</v>
      </c>
      <c r="S186" t="s">
        <v>627</v>
      </c>
      <c r="T186" t="str">
        <f t="shared" si="21"/>
        <v>281/20/G</v>
      </c>
      <c r="U186">
        <v>14</v>
      </c>
      <c r="V186">
        <v>7</v>
      </c>
    </row>
    <row r="187" spans="1:22" x14ac:dyDescent="0.25">
      <c r="A187" t="s">
        <v>467</v>
      </c>
      <c r="B187" t="s">
        <v>253</v>
      </c>
      <c r="C187">
        <v>2975</v>
      </c>
      <c r="D187" t="s">
        <v>478</v>
      </c>
      <c r="E187">
        <v>1.8</v>
      </c>
      <c r="F187">
        <v>3150</v>
      </c>
      <c r="G187" t="s">
        <v>259</v>
      </c>
      <c r="H187">
        <v>30</v>
      </c>
      <c r="I187" t="s">
        <v>11</v>
      </c>
      <c r="J187" s="1">
        <v>43999</v>
      </c>
      <c r="K187">
        <v>120</v>
      </c>
      <c r="L187">
        <v>95</v>
      </c>
      <c r="M187" s="1">
        <v>44363</v>
      </c>
      <c r="N187">
        <f t="shared" si="14"/>
        <v>11.934426229508198</v>
      </c>
      <c r="O187" s="1">
        <f t="shared" si="15"/>
        <v>41465.5</v>
      </c>
      <c r="P187">
        <v>6</v>
      </c>
      <c r="Q187" s="3">
        <v>23</v>
      </c>
      <c r="R187" s="3">
        <v>7.8</v>
      </c>
      <c r="S187" t="s">
        <v>628</v>
      </c>
      <c r="T187" t="str">
        <f t="shared" si="21"/>
        <v>253/20/G</v>
      </c>
      <c r="U187">
        <v>14</v>
      </c>
      <c r="V187">
        <v>7</v>
      </c>
    </row>
    <row r="188" spans="1:22" x14ac:dyDescent="0.25">
      <c r="A188" t="s">
        <v>467</v>
      </c>
      <c r="B188" t="s">
        <v>253</v>
      </c>
      <c r="C188">
        <v>2975</v>
      </c>
      <c r="D188" t="s">
        <v>478</v>
      </c>
      <c r="E188">
        <v>1.8</v>
      </c>
      <c r="F188">
        <v>3150</v>
      </c>
      <c r="G188" t="s">
        <v>260</v>
      </c>
      <c r="H188">
        <v>142</v>
      </c>
      <c r="I188" t="s">
        <v>11</v>
      </c>
      <c r="J188" s="1">
        <v>43493</v>
      </c>
      <c r="K188">
        <v>120</v>
      </c>
      <c r="L188">
        <v>117</v>
      </c>
      <c r="M188" s="1">
        <v>44363</v>
      </c>
      <c r="N188">
        <f t="shared" si="14"/>
        <v>28.524590163934427</v>
      </c>
      <c r="O188" s="1">
        <f t="shared" si="15"/>
        <v>40794.5</v>
      </c>
      <c r="P188">
        <v>6</v>
      </c>
      <c r="Q188" s="3">
        <v>23</v>
      </c>
      <c r="R188" s="3">
        <v>7.8</v>
      </c>
      <c r="S188" t="s">
        <v>629</v>
      </c>
      <c r="T188" t="str">
        <f t="shared" si="21"/>
        <v>283/20/G</v>
      </c>
      <c r="U188">
        <v>14</v>
      </c>
      <c r="V188">
        <v>7</v>
      </c>
    </row>
    <row r="189" spans="1:22" x14ac:dyDescent="0.25">
      <c r="A189" t="s">
        <v>467</v>
      </c>
      <c r="B189" t="s">
        <v>253</v>
      </c>
      <c r="C189">
        <v>2975</v>
      </c>
      <c r="D189" t="s">
        <v>478</v>
      </c>
      <c r="E189">
        <v>1.8</v>
      </c>
      <c r="F189">
        <v>3150</v>
      </c>
      <c r="G189" t="s">
        <v>261</v>
      </c>
      <c r="H189">
        <v>141</v>
      </c>
      <c r="I189" t="s">
        <v>11</v>
      </c>
      <c r="J189" s="1">
        <v>43794</v>
      </c>
      <c r="K189">
        <v>120</v>
      </c>
      <c r="L189">
        <v>116</v>
      </c>
      <c r="M189" s="1">
        <v>44363</v>
      </c>
      <c r="N189">
        <f t="shared" si="14"/>
        <v>18.655737704918032</v>
      </c>
      <c r="O189" s="1">
        <f t="shared" si="15"/>
        <v>40825</v>
      </c>
      <c r="P189">
        <v>6</v>
      </c>
      <c r="Q189" s="3">
        <v>23</v>
      </c>
      <c r="R189" s="3">
        <v>7.8</v>
      </c>
      <c r="S189" t="s">
        <v>630</v>
      </c>
      <c r="T189" t="str">
        <f t="shared" si="21"/>
        <v>559/19/G</v>
      </c>
      <c r="U189">
        <v>14</v>
      </c>
      <c r="V189">
        <v>7</v>
      </c>
    </row>
    <row r="190" spans="1:22" x14ac:dyDescent="0.25">
      <c r="A190" t="s">
        <v>467</v>
      </c>
      <c r="B190" t="s">
        <v>253</v>
      </c>
      <c r="C190">
        <v>2975</v>
      </c>
      <c r="D190" t="s">
        <v>478</v>
      </c>
      <c r="E190">
        <v>1.8</v>
      </c>
      <c r="F190">
        <v>3150</v>
      </c>
      <c r="G190" t="s">
        <v>262</v>
      </c>
      <c r="H190">
        <v>136</v>
      </c>
      <c r="I190" t="s">
        <v>11</v>
      </c>
      <c r="J190" s="1">
        <v>44260</v>
      </c>
      <c r="K190">
        <v>120</v>
      </c>
      <c r="L190">
        <v>120</v>
      </c>
      <c r="M190" s="1">
        <v>44363</v>
      </c>
      <c r="N190">
        <f t="shared" ref="N190:N253" si="22">(M190-J190)/30.5</f>
        <v>3.377049180327869</v>
      </c>
      <c r="O190" s="1">
        <f t="shared" ref="O190:O253" si="23">IF(ABS(L190-N190)&lt;1, J190, M190-L190*30.5)</f>
        <v>40703</v>
      </c>
      <c r="P190">
        <v>6</v>
      </c>
      <c r="Q190" s="3">
        <v>23</v>
      </c>
      <c r="R190" s="3">
        <v>7.8</v>
      </c>
      <c r="S190" t="s">
        <v>631</v>
      </c>
      <c r="T190" t="str">
        <f t="shared" si="21"/>
        <v>70/21/G</v>
      </c>
      <c r="U190">
        <v>14</v>
      </c>
      <c r="V190">
        <v>7</v>
      </c>
    </row>
    <row r="191" spans="1:22" x14ac:dyDescent="0.25">
      <c r="A191" t="s">
        <v>467</v>
      </c>
      <c r="B191" t="s">
        <v>253</v>
      </c>
      <c r="C191">
        <v>2975</v>
      </c>
      <c r="D191" t="s">
        <v>478</v>
      </c>
      <c r="E191">
        <v>1.8</v>
      </c>
      <c r="F191">
        <v>3150</v>
      </c>
      <c r="G191" t="s">
        <v>263</v>
      </c>
      <c r="H191">
        <v>12</v>
      </c>
      <c r="I191" t="s">
        <v>11</v>
      </c>
      <c r="J191" s="1">
        <v>44260</v>
      </c>
      <c r="K191">
        <v>120</v>
      </c>
      <c r="L191">
        <v>112</v>
      </c>
      <c r="M191" s="1">
        <v>44363</v>
      </c>
      <c r="N191">
        <f t="shared" si="22"/>
        <v>3.377049180327869</v>
      </c>
      <c r="O191" s="1">
        <f t="shared" si="23"/>
        <v>40947</v>
      </c>
      <c r="P191">
        <v>6</v>
      </c>
      <c r="Q191" s="3">
        <v>23</v>
      </c>
      <c r="R191" s="3">
        <v>7.8</v>
      </c>
      <c r="S191" t="s">
        <v>632</v>
      </c>
      <c r="T191" t="str">
        <f t="shared" si="21"/>
        <v>579/20/G</v>
      </c>
      <c r="U191">
        <v>14</v>
      </c>
      <c r="V191">
        <v>7</v>
      </c>
    </row>
    <row r="192" spans="1:22" x14ac:dyDescent="0.25">
      <c r="A192" t="s">
        <v>467</v>
      </c>
      <c r="B192" t="s">
        <v>253</v>
      </c>
      <c r="C192">
        <v>2975</v>
      </c>
      <c r="D192" t="s">
        <v>478</v>
      </c>
      <c r="E192">
        <v>1.8</v>
      </c>
      <c r="F192">
        <v>3150</v>
      </c>
      <c r="G192" t="s">
        <v>264</v>
      </c>
      <c r="H192">
        <v>13</v>
      </c>
      <c r="I192" t="s">
        <v>11</v>
      </c>
      <c r="J192" s="1">
        <v>43794</v>
      </c>
      <c r="K192">
        <v>120</v>
      </c>
      <c r="L192">
        <v>64</v>
      </c>
      <c r="M192" s="1">
        <v>44363</v>
      </c>
      <c r="N192">
        <f t="shared" si="22"/>
        <v>18.655737704918032</v>
      </c>
      <c r="O192" s="1">
        <f t="shared" si="23"/>
        <v>42411</v>
      </c>
      <c r="P192">
        <v>6</v>
      </c>
      <c r="Q192" s="3">
        <v>23</v>
      </c>
      <c r="R192" s="3">
        <v>7.8</v>
      </c>
      <c r="S192" t="s">
        <v>633</v>
      </c>
      <c r="T192" t="str">
        <f t="shared" si="21"/>
        <v>72/21/G</v>
      </c>
      <c r="U192">
        <v>14</v>
      </c>
      <c r="V192">
        <v>7</v>
      </c>
    </row>
    <row r="193" spans="1:22" x14ac:dyDescent="0.25">
      <c r="A193" t="s">
        <v>467</v>
      </c>
      <c r="B193" t="s">
        <v>253</v>
      </c>
      <c r="C193">
        <v>2975</v>
      </c>
      <c r="D193" t="s">
        <v>478</v>
      </c>
      <c r="E193">
        <v>1.8</v>
      </c>
      <c r="F193">
        <v>3150</v>
      </c>
      <c r="G193" t="s">
        <v>265</v>
      </c>
      <c r="H193">
        <v>231</v>
      </c>
      <c r="I193" t="s">
        <v>11</v>
      </c>
      <c r="J193" s="1">
        <v>43641</v>
      </c>
      <c r="K193">
        <v>120</v>
      </c>
      <c r="L193">
        <v>45</v>
      </c>
      <c r="M193" s="1">
        <v>44363</v>
      </c>
      <c r="N193">
        <f t="shared" si="22"/>
        <v>23.672131147540984</v>
      </c>
      <c r="O193" s="1">
        <f t="shared" si="23"/>
        <v>42990.5</v>
      </c>
      <c r="P193">
        <v>6</v>
      </c>
      <c r="Q193" s="3">
        <v>23</v>
      </c>
      <c r="R193" s="3">
        <v>7.8</v>
      </c>
      <c r="S193" t="s">
        <v>634</v>
      </c>
      <c r="T193" t="str">
        <f t="shared" si="21"/>
        <v>556/19/G</v>
      </c>
      <c r="U193">
        <v>14</v>
      </c>
      <c r="V193">
        <v>7</v>
      </c>
    </row>
    <row r="194" spans="1:22" x14ac:dyDescent="0.25">
      <c r="A194" t="s">
        <v>467</v>
      </c>
      <c r="B194" t="s">
        <v>253</v>
      </c>
      <c r="C194">
        <v>2975</v>
      </c>
      <c r="D194" t="s">
        <v>478</v>
      </c>
      <c r="E194">
        <v>1.8</v>
      </c>
      <c r="F194">
        <v>3150</v>
      </c>
      <c r="G194" t="s">
        <v>266</v>
      </c>
      <c r="H194">
        <v>95</v>
      </c>
      <c r="I194" t="s">
        <v>11</v>
      </c>
      <c r="J194" s="1">
        <v>43424</v>
      </c>
      <c r="K194">
        <v>120</v>
      </c>
      <c r="L194">
        <v>115</v>
      </c>
      <c r="M194" s="1">
        <v>44363</v>
      </c>
      <c r="N194">
        <f t="shared" si="22"/>
        <v>30.78688524590164</v>
      </c>
      <c r="O194" s="1">
        <f t="shared" si="23"/>
        <v>40855.5</v>
      </c>
      <c r="P194">
        <v>6</v>
      </c>
      <c r="Q194" s="3">
        <v>23</v>
      </c>
      <c r="R194" s="3">
        <v>7.8</v>
      </c>
      <c r="S194" t="s">
        <v>635</v>
      </c>
      <c r="T194" t="str">
        <f t="shared" si="21"/>
        <v>282/19/G</v>
      </c>
      <c r="U194">
        <v>14</v>
      </c>
      <c r="V194">
        <v>7</v>
      </c>
    </row>
    <row r="195" spans="1:22" x14ac:dyDescent="0.25">
      <c r="A195" t="s">
        <v>467</v>
      </c>
      <c r="B195" t="s">
        <v>253</v>
      </c>
      <c r="C195">
        <v>2975</v>
      </c>
      <c r="D195" t="s">
        <v>478</v>
      </c>
      <c r="E195">
        <v>1.8</v>
      </c>
      <c r="F195">
        <v>3150</v>
      </c>
      <c r="G195" t="s">
        <v>267</v>
      </c>
      <c r="H195">
        <v>143</v>
      </c>
      <c r="I195" t="s">
        <v>11</v>
      </c>
      <c r="J195" s="1">
        <v>43641</v>
      </c>
      <c r="K195">
        <v>120</v>
      </c>
      <c r="L195">
        <v>36</v>
      </c>
      <c r="M195" s="1">
        <v>44363</v>
      </c>
      <c r="N195">
        <f t="shared" si="22"/>
        <v>23.672131147540984</v>
      </c>
      <c r="O195" s="1">
        <f t="shared" si="23"/>
        <v>43265</v>
      </c>
      <c r="P195">
        <v>6</v>
      </c>
      <c r="Q195" s="3">
        <v>23</v>
      </c>
      <c r="R195" s="3">
        <v>7.8</v>
      </c>
      <c r="S195" t="s">
        <v>636</v>
      </c>
      <c r="T195" t="str">
        <f t="shared" si="21"/>
        <v>294/19/G</v>
      </c>
      <c r="U195">
        <v>14</v>
      </c>
      <c r="V195">
        <v>7</v>
      </c>
    </row>
    <row r="196" spans="1:22" x14ac:dyDescent="0.25">
      <c r="A196" t="s">
        <v>467</v>
      </c>
      <c r="B196" t="s">
        <v>253</v>
      </c>
      <c r="C196">
        <v>2975</v>
      </c>
      <c r="D196" t="s">
        <v>478</v>
      </c>
      <c r="E196">
        <v>1.8</v>
      </c>
      <c r="F196">
        <v>3150</v>
      </c>
      <c r="G196" t="s">
        <v>268</v>
      </c>
      <c r="H196">
        <v>46</v>
      </c>
      <c r="I196" t="s">
        <v>11</v>
      </c>
      <c r="J196" s="1">
        <v>43641</v>
      </c>
      <c r="K196">
        <v>120</v>
      </c>
      <c r="L196">
        <v>35</v>
      </c>
      <c r="M196" s="1">
        <v>44363</v>
      </c>
      <c r="N196">
        <f t="shared" si="22"/>
        <v>23.672131147540984</v>
      </c>
      <c r="O196" s="1">
        <f t="shared" si="23"/>
        <v>43295.5</v>
      </c>
      <c r="P196">
        <v>6</v>
      </c>
      <c r="Q196" s="3">
        <v>23</v>
      </c>
      <c r="R196" s="3">
        <v>7.8</v>
      </c>
      <c r="S196" t="s">
        <v>637</v>
      </c>
      <c r="T196" t="str">
        <f t="shared" si="21"/>
        <v>572/18/G</v>
      </c>
      <c r="U196">
        <v>14</v>
      </c>
      <c r="V196">
        <v>7</v>
      </c>
    </row>
    <row r="197" spans="1:22" x14ac:dyDescent="0.25">
      <c r="A197" t="s">
        <v>467</v>
      </c>
      <c r="B197" t="s">
        <v>253</v>
      </c>
      <c r="C197">
        <v>2975</v>
      </c>
      <c r="D197" t="s">
        <v>478</v>
      </c>
      <c r="E197">
        <v>1.8</v>
      </c>
      <c r="F197">
        <v>3150</v>
      </c>
      <c r="G197" t="s">
        <v>269</v>
      </c>
      <c r="H197">
        <v>183</v>
      </c>
      <c r="I197" t="s">
        <v>11</v>
      </c>
      <c r="J197" s="1">
        <v>43641</v>
      </c>
      <c r="K197">
        <v>120</v>
      </c>
      <c r="L197">
        <v>65</v>
      </c>
      <c r="M197" s="1">
        <v>44363</v>
      </c>
      <c r="N197">
        <f t="shared" si="22"/>
        <v>23.672131147540984</v>
      </c>
      <c r="O197" s="1">
        <f t="shared" si="23"/>
        <v>42380.5</v>
      </c>
      <c r="P197">
        <v>6</v>
      </c>
      <c r="Q197" s="3">
        <v>23</v>
      </c>
      <c r="R197" s="3">
        <v>7.8</v>
      </c>
      <c r="S197" t="s">
        <v>638</v>
      </c>
      <c r="T197" t="str">
        <f t="shared" si="21"/>
        <v>293/19/G</v>
      </c>
      <c r="U197">
        <v>14</v>
      </c>
      <c r="V197">
        <v>7</v>
      </c>
    </row>
    <row r="198" spans="1:22" x14ac:dyDescent="0.25">
      <c r="A198" t="s">
        <v>467</v>
      </c>
      <c r="B198" t="s">
        <v>253</v>
      </c>
      <c r="C198">
        <v>2975</v>
      </c>
      <c r="D198" t="s">
        <v>478</v>
      </c>
      <c r="E198">
        <v>1.8</v>
      </c>
      <c r="F198">
        <v>3150</v>
      </c>
      <c r="G198" t="s">
        <v>270</v>
      </c>
      <c r="H198">
        <v>235</v>
      </c>
      <c r="I198" t="s">
        <v>11</v>
      </c>
      <c r="J198" s="1">
        <v>43717</v>
      </c>
      <c r="K198">
        <v>120</v>
      </c>
      <c r="L198">
        <v>72</v>
      </c>
      <c r="M198" s="1">
        <v>44363</v>
      </c>
      <c r="N198">
        <f t="shared" si="22"/>
        <v>21.180327868852459</v>
      </c>
      <c r="O198" s="1">
        <f t="shared" si="23"/>
        <v>42167</v>
      </c>
      <c r="P198">
        <v>6</v>
      </c>
      <c r="Q198" s="3">
        <v>23</v>
      </c>
      <c r="R198" s="3">
        <v>7.8</v>
      </c>
      <c r="S198" t="s">
        <v>639</v>
      </c>
      <c r="T198" t="str">
        <f t="shared" si="21"/>
        <v>409/19/G</v>
      </c>
      <c r="U198">
        <v>14</v>
      </c>
      <c r="V198">
        <v>7</v>
      </c>
    </row>
    <row r="199" spans="1:22" x14ac:dyDescent="0.25">
      <c r="A199" t="s">
        <v>467</v>
      </c>
      <c r="B199" t="s">
        <v>253</v>
      </c>
      <c r="C199">
        <v>2975</v>
      </c>
      <c r="D199" t="s">
        <v>478</v>
      </c>
      <c r="E199">
        <v>1.8</v>
      </c>
      <c r="F199">
        <v>3150</v>
      </c>
      <c r="G199" t="s">
        <v>271</v>
      </c>
      <c r="H199">
        <v>247</v>
      </c>
      <c r="I199" t="s">
        <v>11</v>
      </c>
      <c r="J199" s="1">
        <v>43005</v>
      </c>
      <c r="K199">
        <v>120</v>
      </c>
      <c r="L199">
        <v>45</v>
      </c>
      <c r="M199" s="1">
        <v>44363</v>
      </c>
      <c r="N199">
        <f t="shared" si="22"/>
        <v>44.524590163934427</v>
      </c>
      <c r="O199" s="1">
        <f t="shared" si="23"/>
        <v>43005</v>
      </c>
      <c r="P199">
        <v>6</v>
      </c>
      <c r="Q199" s="3">
        <v>23</v>
      </c>
      <c r="R199" s="3">
        <v>7.8</v>
      </c>
      <c r="S199" t="s">
        <v>640</v>
      </c>
      <c r="T199" t="str">
        <f t="shared" si="21"/>
        <v>408/19/G</v>
      </c>
      <c r="U199">
        <v>14</v>
      </c>
      <c r="V199">
        <v>7</v>
      </c>
    </row>
    <row r="200" spans="1:22" x14ac:dyDescent="0.25">
      <c r="A200" t="s">
        <v>467</v>
      </c>
      <c r="B200" t="s">
        <v>253</v>
      </c>
      <c r="C200">
        <v>2975</v>
      </c>
      <c r="D200" t="s">
        <v>478</v>
      </c>
      <c r="E200">
        <v>1.8</v>
      </c>
      <c r="F200">
        <v>3150</v>
      </c>
      <c r="G200" t="s">
        <v>272</v>
      </c>
      <c r="H200">
        <v>192</v>
      </c>
      <c r="I200" t="s">
        <v>11</v>
      </c>
      <c r="J200" s="1">
        <v>43089</v>
      </c>
      <c r="K200">
        <v>120</v>
      </c>
      <c r="L200">
        <v>42</v>
      </c>
      <c r="M200" s="1">
        <v>44363</v>
      </c>
      <c r="N200">
        <f t="shared" si="22"/>
        <v>41.770491803278688</v>
      </c>
      <c r="O200" s="1">
        <f t="shared" si="23"/>
        <v>43089</v>
      </c>
      <c r="P200">
        <v>6</v>
      </c>
      <c r="Q200" s="3">
        <v>23</v>
      </c>
      <c r="R200" s="3">
        <v>7.8</v>
      </c>
      <c r="S200" t="s">
        <v>641</v>
      </c>
      <c r="T200" t="str">
        <f t="shared" si="21"/>
        <v>715/17/G</v>
      </c>
      <c r="U200">
        <v>14</v>
      </c>
      <c r="V200">
        <v>7</v>
      </c>
    </row>
    <row r="201" spans="1:22" x14ac:dyDescent="0.25">
      <c r="A201" t="s">
        <v>467</v>
      </c>
      <c r="B201" t="s">
        <v>253</v>
      </c>
      <c r="C201">
        <v>2975</v>
      </c>
      <c r="D201" t="s">
        <v>478</v>
      </c>
      <c r="E201">
        <v>1.8</v>
      </c>
      <c r="F201">
        <v>3150</v>
      </c>
      <c r="G201" t="s">
        <v>273</v>
      </c>
      <c r="H201">
        <v>43</v>
      </c>
      <c r="I201" t="s">
        <v>11</v>
      </c>
      <c r="J201" s="1">
        <v>43315</v>
      </c>
      <c r="K201">
        <v>120</v>
      </c>
      <c r="L201">
        <v>102</v>
      </c>
      <c r="M201" s="1">
        <v>44363</v>
      </c>
      <c r="N201">
        <f t="shared" si="22"/>
        <v>34.360655737704917</v>
      </c>
      <c r="O201" s="1">
        <f t="shared" si="23"/>
        <v>41252</v>
      </c>
      <c r="P201">
        <v>6</v>
      </c>
      <c r="Q201" s="3">
        <v>23</v>
      </c>
      <c r="R201" s="3">
        <v>7.8</v>
      </c>
      <c r="S201" t="s">
        <v>642</v>
      </c>
      <c r="T201" t="str">
        <f t="shared" si="21"/>
        <v>380/18/G</v>
      </c>
      <c r="U201">
        <v>14</v>
      </c>
      <c r="V201">
        <v>7</v>
      </c>
    </row>
    <row r="202" spans="1:22" x14ac:dyDescent="0.25">
      <c r="A202" t="s">
        <v>467</v>
      </c>
      <c r="B202" t="s">
        <v>253</v>
      </c>
      <c r="C202">
        <v>2975</v>
      </c>
      <c r="D202" t="s">
        <v>478</v>
      </c>
      <c r="E202">
        <v>1.8</v>
      </c>
      <c r="F202">
        <v>3150</v>
      </c>
      <c r="G202" t="s">
        <v>274</v>
      </c>
      <c r="H202">
        <v>126</v>
      </c>
      <c r="I202" t="s">
        <v>11</v>
      </c>
      <c r="J202" s="1">
        <v>43565</v>
      </c>
      <c r="K202">
        <v>120</v>
      </c>
      <c r="L202">
        <v>239</v>
      </c>
      <c r="M202" s="1">
        <v>44363</v>
      </c>
      <c r="N202">
        <f t="shared" si="22"/>
        <v>26.16393442622951</v>
      </c>
      <c r="O202" s="1">
        <f t="shared" si="23"/>
        <v>37073.5</v>
      </c>
      <c r="P202">
        <v>6</v>
      </c>
      <c r="Q202" s="3">
        <v>23</v>
      </c>
      <c r="R202" s="3">
        <v>7.8</v>
      </c>
      <c r="S202" t="s">
        <v>643</v>
      </c>
      <c r="T202" t="str">
        <f t="shared" si="21"/>
        <v>168/19/G</v>
      </c>
      <c r="U202">
        <v>14</v>
      </c>
      <c r="V202">
        <v>7</v>
      </c>
    </row>
    <row r="203" spans="1:22" x14ac:dyDescent="0.25">
      <c r="A203" t="s">
        <v>467</v>
      </c>
      <c r="B203" t="s">
        <v>253</v>
      </c>
      <c r="C203">
        <v>2975</v>
      </c>
      <c r="D203" t="s">
        <v>478</v>
      </c>
      <c r="E203">
        <v>1.8</v>
      </c>
      <c r="F203">
        <v>3150</v>
      </c>
      <c r="G203" t="s">
        <v>275</v>
      </c>
      <c r="H203">
        <v>163</v>
      </c>
      <c r="I203" t="s">
        <v>11</v>
      </c>
      <c r="J203" s="1">
        <v>43888</v>
      </c>
      <c r="K203">
        <v>120</v>
      </c>
      <c r="L203">
        <v>164</v>
      </c>
      <c r="M203" s="1">
        <v>44363</v>
      </c>
      <c r="N203">
        <f t="shared" si="22"/>
        <v>15.573770491803279</v>
      </c>
      <c r="O203" s="1">
        <f t="shared" si="23"/>
        <v>39361</v>
      </c>
      <c r="P203">
        <v>6</v>
      </c>
      <c r="Q203" s="3">
        <v>23</v>
      </c>
      <c r="R203" s="3">
        <v>7.8</v>
      </c>
      <c r="S203" t="s">
        <v>645</v>
      </c>
      <c r="T203" t="str">
        <f t="shared" si="21"/>
        <v>93/20/G</v>
      </c>
      <c r="U203">
        <v>14</v>
      </c>
      <c r="V203">
        <v>7</v>
      </c>
    </row>
    <row r="204" spans="1:22" x14ac:dyDescent="0.25">
      <c r="A204" t="s">
        <v>467</v>
      </c>
      <c r="B204" t="s">
        <v>253</v>
      </c>
      <c r="C204">
        <v>2975</v>
      </c>
      <c r="D204" t="s">
        <v>478</v>
      </c>
      <c r="E204">
        <v>1.8</v>
      </c>
      <c r="F204">
        <v>3150</v>
      </c>
      <c r="G204" t="s">
        <v>375</v>
      </c>
      <c r="H204">
        <v>41</v>
      </c>
      <c r="I204" t="s">
        <v>11</v>
      </c>
      <c r="J204" s="1">
        <v>44069</v>
      </c>
      <c r="K204">
        <v>120</v>
      </c>
      <c r="L204">
        <v>148</v>
      </c>
      <c r="M204" s="1">
        <v>44363</v>
      </c>
      <c r="N204">
        <f t="shared" si="22"/>
        <v>9.6393442622950811</v>
      </c>
      <c r="O204" s="1">
        <f t="shared" si="23"/>
        <v>39849</v>
      </c>
      <c r="P204">
        <v>6</v>
      </c>
      <c r="Q204" s="3">
        <v>23</v>
      </c>
      <c r="R204" s="3">
        <v>7.8</v>
      </c>
      <c r="S204" t="s">
        <v>644</v>
      </c>
      <c r="T204" t="str">
        <f t="shared" si="21"/>
        <v>X</v>
      </c>
      <c r="U204">
        <v>14</v>
      </c>
      <c r="V204">
        <v>7</v>
      </c>
    </row>
    <row r="205" spans="1:22" x14ac:dyDescent="0.25">
      <c r="A205" t="s">
        <v>467</v>
      </c>
      <c r="B205" t="s">
        <v>276</v>
      </c>
      <c r="C205">
        <v>792</v>
      </c>
      <c r="D205" t="s">
        <v>478</v>
      </c>
      <c r="E205">
        <v>1.8</v>
      </c>
      <c r="F205">
        <v>3150</v>
      </c>
      <c r="G205" t="s">
        <v>277</v>
      </c>
      <c r="H205">
        <v>247</v>
      </c>
      <c r="I205" t="s">
        <v>11</v>
      </c>
      <c r="J205" s="1">
        <v>41614</v>
      </c>
      <c r="K205">
        <v>120</v>
      </c>
      <c r="L205">
        <v>90</v>
      </c>
      <c r="M205" s="1">
        <v>44363</v>
      </c>
      <c r="N205">
        <f t="shared" si="22"/>
        <v>90.131147540983605</v>
      </c>
      <c r="O205" s="1">
        <f t="shared" si="23"/>
        <v>41614</v>
      </c>
      <c r="P205">
        <v>6</v>
      </c>
      <c r="Q205" s="3">
        <v>4</v>
      </c>
      <c r="R205" s="3">
        <v>7.8</v>
      </c>
      <c r="S205" t="s">
        <v>646</v>
      </c>
      <c r="T205" t="str">
        <f>S208</f>
        <v>292/13/G</v>
      </c>
      <c r="U205">
        <v>14</v>
      </c>
      <c r="V205">
        <v>7</v>
      </c>
    </row>
    <row r="206" spans="1:22" x14ac:dyDescent="0.25">
      <c r="A206" t="s">
        <v>467</v>
      </c>
      <c r="B206" t="s">
        <v>276</v>
      </c>
      <c r="C206">
        <v>792</v>
      </c>
      <c r="D206" t="s">
        <v>478</v>
      </c>
      <c r="E206">
        <v>1.8</v>
      </c>
      <c r="F206">
        <v>3150</v>
      </c>
      <c r="G206" t="s">
        <v>278</v>
      </c>
      <c r="H206">
        <v>246</v>
      </c>
      <c r="I206" t="s">
        <v>11</v>
      </c>
      <c r="J206" s="1">
        <v>41614</v>
      </c>
      <c r="K206">
        <v>120</v>
      </c>
      <c r="L206">
        <v>90</v>
      </c>
      <c r="M206" s="1">
        <v>44363</v>
      </c>
      <c r="N206">
        <f t="shared" si="22"/>
        <v>90.131147540983605</v>
      </c>
      <c r="O206" s="1">
        <f t="shared" si="23"/>
        <v>41614</v>
      </c>
      <c r="P206">
        <v>6</v>
      </c>
      <c r="Q206" s="3">
        <v>4</v>
      </c>
      <c r="R206" s="3">
        <v>7.8</v>
      </c>
      <c r="S206" t="s">
        <v>647</v>
      </c>
      <c r="T206" t="str">
        <f>S205</f>
        <v>265/13/G</v>
      </c>
      <c r="U206">
        <v>14</v>
      </c>
      <c r="V206">
        <v>7</v>
      </c>
    </row>
    <row r="207" spans="1:22" x14ac:dyDescent="0.25">
      <c r="A207" t="s">
        <v>467</v>
      </c>
      <c r="B207" t="s">
        <v>276</v>
      </c>
      <c r="C207">
        <v>792</v>
      </c>
      <c r="D207" t="s">
        <v>478</v>
      </c>
      <c r="E207">
        <v>1.8</v>
      </c>
      <c r="F207">
        <v>3150</v>
      </c>
      <c r="G207" t="s">
        <v>279</v>
      </c>
      <c r="H207">
        <v>53</v>
      </c>
      <c r="I207" t="s">
        <v>11</v>
      </c>
      <c r="J207" s="1">
        <v>43053</v>
      </c>
      <c r="K207">
        <v>120</v>
      </c>
      <c r="L207">
        <v>55</v>
      </c>
      <c r="M207" s="1">
        <v>44363</v>
      </c>
      <c r="N207">
        <f t="shared" si="22"/>
        <v>42.950819672131146</v>
      </c>
      <c r="O207" s="1">
        <f t="shared" si="23"/>
        <v>42685.5</v>
      </c>
      <c r="P207">
        <v>6</v>
      </c>
      <c r="Q207" s="3">
        <v>4</v>
      </c>
      <c r="R207" s="3">
        <v>7.8</v>
      </c>
      <c r="S207" t="s">
        <v>648</v>
      </c>
      <c r="T207" t="str">
        <f t="shared" ref="T207:T208" si="24">S206</f>
        <v>624/17/G</v>
      </c>
      <c r="U207">
        <v>14</v>
      </c>
      <c r="V207">
        <v>7</v>
      </c>
    </row>
    <row r="208" spans="1:22" x14ac:dyDescent="0.25">
      <c r="A208" t="s">
        <v>467</v>
      </c>
      <c r="B208" t="s">
        <v>276</v>
      </c>
      <c r="C208">
        <v>792</v>
      </c>
      <c r="D208" t="s">
        <v>478</v>
      </c>
      <c r="E208">
        <v>1.8</v>
      </c>
      <c r="F208">
        <v>3150</v>
      </c>
      <c r="G208" t="s">
        <v>280</v>
      </c>
      <c r="H208">
        <v>246</v>
      </c>
      <c r="I208" t="s">
        <v>11</v>
      </c>
      <c r="J208" s="1">
        <v>41614</v>
      </c>
      <c r="K208">
        <v>120</v>
      </c>
      <c r="L208">
        <v>90</v>
      </c>
      <c r="M208" s="1">
        <v>44363</v>
      </c>
      <c r="N208">
        <f t="shared" si="22"/>
        <v>90.131147540983605</v>
      </c>
      <c r="O208" s="1">
        <f t="shared" si="23"/>
        <v>41614</v>
      </c>
      <c r="P208">
        <v>6</v>
      </c>
      <c r="Q208" s="3">
        <v>4</v>
      </c>
      <c r="R208" s="3">
        <v>7.8</v>
      </c>
      <c r="S208" t="s">
        <v>649</v>
      </c>
      <c r="T208" t="str">
        <f t="shared" si="24"/>
        <v>626/17/G</v>
      </c>
      <c r="U208">
        <v>14</v>
      </c>
      <c r="V208">
        <v>7</v>
      </c>
    </row>
    <row r="209" spans="1:22" x14ac:dyDescent="0.25">
      <c r="A209" t="s">
        <v>467</v>
      </c>
      <c r="B209" t="s">
        <v>281</v>
      </c>
      <c r="C209">
        <v>2451</v>
      </c>
      <c r="D209" t="s">
        <v>478</v>
      </c>
      <c r="E209">
        <v>1.8</v>
      </c>
      <c r="F209">
        <v>3150</v>
      </c>
      <c r="G209" t="s">
        <v>282</v>
      </c>
      <c r="H209">
        <v>87</v>
      </c>
      <c r="I209" t="s">
        <v>11</v>
      </c>
      <c r="J209" s="1">
        <v>44015</v>
      </c>
      <c r="K209">
        <v>120</v>
      </c>
      <c r="L209">
        <v>224</v>
      </c>
      <c r="M209" s="1">
        <v>44364</v>
      </c>
      <c r="N209">
        <f t="shared" si="22"/>
        <v>11.442622950819672</v>
      </c>
      <c r="O209" s="1">
        <f t="shared" si="23"/>
        <v>37532</v>
      </c>
      <c r="P209">
        <v>6</v>
      </c>
      <c r="Q209" s="3">
        <v>17</v>
      </c>
      <c r="R209" s="3">
        <v>7.8</v>
      </c>
      <c r="S209" t="s">
        <v>650</v>
      </c>
      <c r="T209" t="str">
        <f>S225</f>
        <v>279/20/G</v>
      </c>
      <c r="U209">
        <v>14</v>
      </c>
      <c r="V209">
        <v>7</v>
      </c>
    </row>
    <row r="210" spans="1:22" x14ac:dyDescent="0.25">
      <c r="A210" t="s">
        <v>467</v>
      </c>
      <c r="B210" t="s">
        <v>281</v>
      </c>
      <c r="C210">
        <v>2451</v>
      </c>
      <c r="D210" t="s">
        <v>478</v>
      </c>
      <c r="E210">
        <v>1.8</v>
      </c>
      <c r="F210">
        <v>3150</v>
      </c>
      <c r="G210" t="s">
        <v>283</v>
      </c>
      <c r="H210">
        <v>147</v>
      </c>
      <c r="I210" t="s">
        <v>11</v>
      </c>
      <c r="J210" s="1">
        <v>43938</v>
      </c>
      <c r="K210">
        <v>120</v>
      </c>
      <c r="L210">
        <v>236</v>
      </c>
      <c r="M210" s="1">
        <v>44364</v>
      </c>
      <c r="N210">
        <f t="shared" si="22"/>
        <v>13.967213114754099</v>
      </c>
      <c r="O210" s="1">
        <f t="shared" si="23"/>
        <v>37166</v>
      </c>
      <c r="P210">
        <v>6</v>
      </c>
      <c r="Q210" s="3">
        <v>17</v>
      </c>
      <c r="R210" s="3">
        <v>7.8</v>
      </c>
      <c r="S210" t="s">
        <v>651</v>
      </c>
      <c r="T210" t="str">
        <f>S209</f>
        <v>307/20/G</v>
      </c>
      <c r="U210">
        <v>14</v>
      </c>
      <c r="V210">
        <v>7</v>
      </c>
    </row>
    <row r="211" spans="1:22" x14ac:dyDescent="0.25">
      <c r="A211" t="s">
        <v>467</v>
      </c>
      <c r="B211" t="s">
        <v>281</v>
      </c>
      <c r="C211">
        <v>2451</v>
      </c>
      <c r="D211" t="s">
        <v>478</v>
      </c>
      <c r="E211">
        <v>1.8</v>
      </c>
      <c r="F211">
        <v>3150</v>
      </c>
      <c r="G211" t="s">
        <v>284</v>
      </c>
      <c r="H211">
        <v>239</v>
      </c>
      <c r="I211" t="s">
        <v>11</v>
      </c>
      <c r="J211" s="1">
        <v>43325</v>
      </c>
      <c r="K211">
        <v>120</v>
      </c>
      <c r="L211">
        <v>34</v>
      </c>
      <c r="M211" s="1">
        <v>44364</v>
      </c>
      <c r="N211">
        <f t="shared" si="22"/>
        <v>34.065573770491802</v>
      </c>
      <c r="O211" s="1">
        <f t="shared" si="23"/>
        <v>43325</v>
      </c>
      <c r="P211">
        <v>6</v>
      </c>
      <c r="Q211" s="3">
        <v>17</v>
      </c>
      <c r="R211" s="3">
        <v>7.8</v>
      </c>
      <c r="S211" t="s">
        <v>652</v>
      </c>
      <c r="T211" t="str">
        <f t="shared" ref="T211:T225" si="25">S210</f>
        <v>182/20/G</v>
      </c>
      <c r="U211">
        <v>14</v>
      </c>
      <c r="V211">
        <v>7</v>
      </c>
    </row>
    <row r="212" spans="1:22" x14ac:dyDescent="0.25">
      <c r="A212" t="s">
        <v>467</v>
      </c>
      <c r="B212" t="s">
        <v>281</v>
      </c>
      <c r="C212">
        <v>2451</v>
      </c>
      <c r="D212" t="s">
        <v>478</v>
      </c>
      <c r="E212">
        <v>1.8</v>
      </c>
      <c r="F212">
        <v>3150</v>
      </c>
      <c r="G212" t="s">
        <v>285</v>
      </c>
      <c r="H212">
        <v>53</v>
      </c>
      <c r="I212" t="s">
        <v>11</v>
      </c>
      <c r="J212" s="1">
        <v>44223</v>
      </c>
      <c r="K212">
        <v>120</v>
      </c>
      <c r="L212">
        <v>34</v>
      </c>
      <c r="M212" s="1">
        <v>44364</v>
      </c>
      <c r="N212">
        <f t="shared" si="22"/>
        <v>4.6229508196721314</v>
      </c>
      <c r="O212" s="1">
        <f t="shared" si="23"/>
        <v>43327</v>
      </c>
      <c r="P212">
        <v>6</v>
      </c>
      <c r="Q212" s="3">
        <v>17</v>
      </c>
      <c r="R212" s="3">
        <v>7.8</v>
      </c>
      <c r="S212" t="s">
        <v>653</v>
      </c>
      <c r="T212" t="str">
        <f t="shared" si="25"/>
        <v>27/21/G</v>
      </c>
      <c r="U212">
        <v>14</v>
      </c>
      <c r="V212">
        <v>7</v>
      </c>
    </row>
    <row r="213" spans="1:22" x14ac:dyDescent="0.25">
      <c r="A213" t="s">
        <v>467</v>
      </c>
      <c r="B213" t="s">
        <v>281</v>
      </c>
      <c r="C213">
        <v>2451</v>
      </c>
      <c r="D213" t="s">
        <v>478</v>
      </c>
      <c r="E213">
        <v>1.8</v>
      </c>
      <c r="F213">
        <v>3150</v>
      </c>
      <c r="G213" t="s">
        <v>286</v>
      </c>
      <c r="H213">
        <v>97</v>
      </c>
      <c r="I213" t="s">
        <v>11</v>
      </c>
      <c r="J213" s="1">
        <v>44223</v>
      </c>
      <c r="K213">
        <v>120</v>
      </c>
      <c r="L213">
        <v>33</v>
      </c>
      <c r="M213" s="1">
        <v>44364</v>
      </c>
      <c r="N213">
        <f t="shared" si="22"/>
        <v>4.6229508196721314</v>
      </c>
      <c r="O213" s="1">
        <f t="shared" si="23"/>
        <v>43357.5</v>
      </c>
      <c r="P213">
        <v>6</v>
      </c>
      <c r="Q213" s="3">
        <v>17</v>
      </c>
      <c r="R213" s="3">
        <v>7.8</v>
      </c>
      <c r="S213" t="s">
        <v>654</v>
      </c>
      <c r="T213" t="str">
        <f t="shared" si="25"/>
        <v>580/20/G</v>
      </c>
      <c r="U213">
        <v>14</v>
      </c>
      <c r="V213">
        <v>7</v>
      </c>
    </row>
    <row r="214" spans="1:22" x14ac:dyDescent="0.25">
      <c r="A214" t="s">
        <v>467</v>
      </c>
      <c r="B214" t="s">
        <v>281</v>
      </c>
      <c r="C214">
        <v>2451</v>
      </c>
      <c r="D214" t="s">
        <v>478</v>
      </c>
      <c r="E214">
        <v>1.8</v>
      </c>
      <c r="F214">
        <v>3150</v>
      </c>
      <c r="G214" t="s">
        <v>287</v>
      </c>
      <c r="H214">
        <v>178</v>
      </c>
      <c r="I214" t="s">
        <v>11</v>
      </c>
      <c r="J214" s="1">
        <v>44183</v>
      </c>
      <c r="K214">
        <v>120</v>
      </c>
      <c r="L214">
        <v>40</v>
      </c>
      <c r="M214" s="1">
        <v>44364</v>
      </c>
      <c r="N214">
        <f t="shared" si="22"/>
        <v>5.9344262295081966</v>
      </c>
      <c r="O214" s="1">
        <f t="shared" si="23"/>
        <v>43144</v>
      </c>
      <c r="P214">
        <v>6</v>
      </c>
      <c r="Q214" s="3">
        <v>17</v>
      </c>
      <c r="R214" s="3">
        <v>7.8</v>
      </c>
      <c r="S214" t="s">
        <v>655</v>
      </c>
      <c r="T214" t="str">
        <f t="shared" si="25"/>
        <v>26/21/G</v>
      </c>
      <c r="U214">
        <v>14</v>
      </c>
      <c r="V214">
        <v>7</v>
      </c>
    </row>
    <row r="215" spans="1:22" x14ac:dyDescent="0.25">
      <c r="A215" t="s">
        <v>467</v>
      </c>
      <c r="B215" t="s">
        <v>281</v>
      </c>
      <c r="C215">
        <v>2451</v>
      </c>
      <c r="D215" t="s">
        <v>478</v>
      </c>
      <c r="E215">
        <v>1.8</v>
      </c>
      <c r="F215">
        <v>3150</v>
      </c>
      <c r="G215" t="s">
        <v>288</v>
      </c>
      <c r="H215">
        <v>217</v>
      </c>
      <c r="I215" t="s">
        <v>11</v>
      </c>
      <c r="J215" s="1">
        <v>43726</v>
      </c>
      <c r="K215">
        <v>120</v>
      </c>
      <c r="L215">
        <v>96</v>
      </c>
      <c r="M215" s="1">
        <v>44364</v>
      </c>
      <c r="N215">
        <f t="shared" si="22"/>
        <v>20.918032786885245</v>
      </c>
      <c r="O215" s="1">
        <f t="shared" si="23"/>
        <v>41436</v>
      </c>
      <c r="P215">
        <v>6</v>
      </c>
      <c r="Q215" s="3">
        <v>17</v>
      </c>
      <c r="R215" s="3">
        <v>7.8</v>
      </c>
      <c r="S215" t="s">
        <v>656</v>
      </c>
      <c r="T215" t="str">
        <f t="shared" si="25"/>
        <v>278/20/G</v>
      </c>
      <c r="U215">
        <v>14</v>
      </c>
      <c r="V215">
        <v>7</v>
      </c>
    </row>
    <row r="216" spans="1:22" x14ac:dyDescent="0.25">
      <c r="A216" t="s">
        <v>467</v>
      </c>
      <c r="B216" t="s">
        <v>281</v>
      </c>
      <c r="C216">
        <v>2451</v>
      </c>
      <c r="D216" t="s">
        <v>478</v>
      </c>
      <c r="E216">
        <v>1.8</v>
      </c>
      <c r="F216">
        <v>3150</v>
      </c>
      <c r="G216" t="s">
        <v>289</v>
      </c>
      <c r="H216">
        <v>248</v>
      </c>
      <c r="I216" t="s">
        <v>11</v>
      </c>
      <c r="J216" s="1">
        <v>43769</v>
      </c>
      <c r="K216">
        <v>120</v>
      </c>
      <c r="L216">
        <v>20</v>
      </c>
      <c r="M216" s="1">
        <v>44364</v>
      </c>
      <c r="N216">
        <f t="shared" si="22"/>
        <v>19.508196721311474</v>
      </c>
      <c r="O216" s="1">
        <f t="shared" si="23"/>
        <v>43769</v>
      </c>
      <c r="P216">
        <v>6</v>
      </c>
      <c r="Q216" s="3">
        <v>17</v>
      </c>
      <c r="R216" s="3">
        <v>7.8</v>
      </c>
      <c r="S216" t="s">
        <v>657</v>
      </c>
      <c r="T216" t="str">
        <f t="shared" si="25"/>
        <v>493/19/G</v>
      </c>
      <c r="U216">
        <v>14</v>
      </c>
      <c r="V216">
        <v>7</v>
      </c>
    </row>
    <row r="217" spans="1:22" x14ac:dyDescent="0.25">
      <c r="A217" t="s">
        <v>467</v>
      </c>
      <c r="B217" t="s">
        <v>281</v>
      </c>
      <c r="C217">
        <v>2451</v>
      </c>
      <c r="D217" t="s">
        <v>478</v>
      </c>
      <c r="E217">
        <v>1.8</v>
      </c>
      <c r="F217">
        <v>3150</v>
      </c>
      <c r="G217" t="s">
        <v>290</v>
      </c>
      <c r="H217">
        <v>251</v>
      </c>
      <c r="I217" t="s">
        <v>11</v>
      </c>
      <c r="J217" s="1">
        <v>43769</v>
      </c>
      <c r="K217">
        <v>120</v>
      </c>
      <c r="L217">
        <v>20</v>
      </c>
      <c r="M217" s="1">
        <v>44364</v>
      </c>
      <c r="N217">
        <f t="shared" si="22"/>
        <v>19.508196721311474</v>
      </c>
      <c r="O217" s="1">
        <f t="shared" si="23"/>
        <v>43769</v>
      </c>
      <c r="P217">
        <v>6</v>
      </c>
      <c r="Q217" s="3">
        <v>17</v>
      </c>
      <c r="R217" s="3">
        <v>7.8</v>
      </c>
      <c r="S217" t="s">
        <v>658</v>
      </c>
      <c r="T217" t="str">
        <f t="shared" si="25"/>
        <v>491/19/G</v>
      </c>
      <c r="U217">
        <v>14</v>
      </c>
      <c r="V217">
        <v>7</v>
      </c>
    </row>
    <row r="218" spans="1:22" x14ac:dyDescent="0.25">
      <c r="A218" t="s">
        <v>467</v>
      </c>
      <c r="B218" t="s">
        <v>281</v>
      </c>
      <c r="C218">
        <v>2451</v>
      </c>
      <c r="D218" t="s">
        <v>478</v>
      </c>
      <c r="E218">
        <v>1.8</v>
      </c>
      <c r="F218">
        <v>3150</v>
      </c>
      <c r="G218" t="s">
        <v>291</v>
      </c>
      <c r="H218">
        <v>209</v>
      </c>
      <c r="I218" t="s">
        <v>11</v>
      </c>
      <c r="J218" s="1">
        <v>43769</v>
      </c>
      <c r="K218">
        <v>120</v>
      </c>
      <c r="L218">
        <v>20</v>
      </c>
      <c r="M218" s="1">
        <v>44364</v>
      </c>
      <c r="N218">
        <f t="shared" si="22"/>
        <v>19.508196721311474</v>
      </c>
      <c r="O218" s="1">
        <f t="shared" si="23"/>
        <v>43769</v>
      </c>
      <c r="P218">
        <v>6</v>
      </c>
      <c r="Q218" s="3">
        <v>17</v>
      </c>
      <c r="R218" s="3">
        <v>7.8</v>
      </c>
      <c r="S218" t="s">
        <v>659</v>
      </c>
      <c r="T218" t="str">
        <f t="shared" si="25"/>
        <v>496/19/G</v>
      </c>
      <c r="U218">
        <v>14</v>
      </c>
      <c r="V218">
        <v>7</v>
      </c>
    </row>
    <row r="219" spans="1:22" x14ac:dyDescent="0.25">
      <c r="A219" t="s">
        <v>467</v>
      </c>
      <c r="B219" t="s">
        <v>281</v>
      </c>
      <c r="C219">
        <v>2451</v>
      </c>
      <c r="D219" t="s">
        <v>478</v>
      </c>
      <c r="E219">
        <v>1.8</v>
      </c>
      <c r="F219">
        <v>3150</v>
      </c>
      <c r="G219" t="s">
        <v>292</v>
      </c>
      <c r="H219">
        <v>35</v>
      </c>
      <c r="I219" t="s">
        <v>11</v>
      </c>
      <c r="J219" s="1">
        <v>44309</v>
      </c>
      <c r="K219">
        <v>120</v>
      </c>
      <c r="L219">
        <v>22</v>
      </c>
      <c r="M219" s="1">
        <v>44364</v>
      </c>
      <c r="N219">
        <f t="shared" si="22"/>
        <v>1.8032786885245902</v>
      </c>
      <c r="O219" s="1">
        <f t="shared" si="23"/>
        <v>43693</v>
      </c>
      <c r="P219">
        <v>6</v>
      </c>
      <c r="Q219" s="3">
        <v>17</v>
      </c>
      <c r="R219" s="3">
        <v>7.8</v>
      </c>
      <c r="S219" t="s">
        <v>660</v>
      </c>
      <c r="T219" t="str">
        <f t="shared" si="25"/>
        <v>150/21/G</v>
      </c>
      <c r="U219">
        <v>14</v>
      </c>
      <c r="V219">
        <v>7</v>
      </c>
    </row>
    <row r="220" spans="1:22" x14ac:dyDescent="0.25">
      <c r="A220" t="s">
        <v>467</v>
      </c>
      <c r="B220" t="s">
        <v>281</v>
      </c>
      <c r="C220">
        <v>2451</v>
      </c>
      <c r="D220" t="s">
        <v>478</v>
      </c>
      <c r="E220">
        <v>1.8</v>
      </c>
      <c r="F220">
        <v>3150</v>
      </c>
      <c r="G220" t="s">
        <v>293</v>
      </c>
      <c r="H220">
        <v>79</v>
      </c>
      <c r="I220" t="s">
        <v>11</v>
      </c>
      <c r="J220" s="1">
        <v>44309</v>
      </c>
      <c r="K220">
        <v>120</v>
      </c>
      <c r="L220">
        <v>19</v>
      </c>
      <c r="M220" s="1">
        <v>44364</v>
      </c>
      <c r="N220">
        <f t="shared" si="22"/>
        <v>1.8032786885245902</v>
      </c>
      <c r="O220" s="1">
        <f t="shared" si="23"/>
        <v>43784.5</v>
      </c>
      <c r="P220">
        <v>6</v>
      </c>
      <c r="Q220" s="3">
        <v>17</v>
      </c>
      <c r="R220" s="3">
        <v>7.8</v>
      </c>
      <c r="S220" t="s">
        <v>661</v>
      </c>
      <c r="T220" t="str">
        <f t="shared" si="25"/>
        <v>41/21/G</v>
      </c>
      <c r="U220">
        <v>14</v>
      </c>
      <c r="V220">
        <v>7</v>
      </c>
    </row>
    <row r="221" spans="1:22" x14ac:dyDescent="0.25">
      <c r="A221" t="s">
        <v>467</v>
      </c>
      <c r="B221" t="s">
        <v>281</v>
      </c>
      <c r="C221">
        <v>2451</v>
      </c>
      <c r="D221" t="s">
        <v>478</v>
      </c>
      <c r="E221">
        <v>1.8</v>
      </c>
      <c r="F221">
        <v>3150</v>
      </c>
      <c r="G221" t="s">
        <v>294</v>
      </c>
      <c r="H221">
        <v>36</v>
      </c>
      <c r="I221" t="s">
        <v>11</v>
      </c>
      <c r="J221" s="1">
        <v>44309</v>
      </c>
      <c r="K221">
        <v>120</v>
      </c>
      <c r="L221">
        <v>13</v>
      </c>
      <c r="M221" s="1">
        <v>44364</v>
      </c>
      <c r="N221">
        <f t="shared" si="22"/>
        <v>1.8032786885245902</v>
      </c>
      <c r="O221" s="1">
        <f t="shared" si="23"/>
        <v>43967.5</v>
      </c>
      <c r="P221">
        <v>6</v>
      </c>
      <c r="Q221" s="3">
        <v>17</v>
      </c>
      <c r="R221" s="3">
        <v>7.8</v>
      </c>
      <c r="S221" t="s">
        <v>662</v>
      </c>
      <c r="T221" t="str">
        <f t="shared" si="25"/>
        <v>38/21/G</v>
      </c>
      <c r="U221">
        <v>14</v>
      </c>
      <c r="V221">
        <v>7</v>
      </c>
    </row>
    <row r="222" spans="1:22" x14ac:dyDescent="0.25">
      <c r="A222" t="s">
        <v>467</v>
      </c>
      <c r="B222" t="s">
        <v>281</v>
      </c>
      <c r="C222">
        <v>2451</v>
      </c>
      <c r="D222" t="s">
        <v>478</v>
      </c>
      <c r="E222">
        <v>1.8</v>
      </c>
      <c r="F222">
        <v>3150</v>
      </c>
      <c r="G222" t="s">
        <v>295</v>
      </c>
      <c r="H222">
        <v>237</v>
      </c>
      <c r="I222" t="s">
        <v>11</v>
      </c>
      <c r="J222" s="1">
        <v>43053</v>
      </c>
      <c r="K222">
        <v>120</v>
      </c>
      <c r="L222">
        <v>67</v>
      </c>
      <c r="M222" s="1">
        <v>44364</v>
      </c>
      <c r="N222">
        <f t="shared" si="22"/>
        <v>42.983606557377051</v>
      </c>
      <c r="O222" s="1">
        <f t="shared" si="23"/>
        <v>42320.5</v>
      </c>
      <c r="P222">
        <v>6</v>
      </c>
      <c r="Q222" s="3">
        <v>17</v>
      </c>
      <c r="R222" s="3">
        <v>7.8</v>
      </c>
      <c r="S222" t="s">
        <v>663</v>
      </c>
      <c r="T222" t="str">
        <f t="shared" si="25"/>
        <v>151/21/G</v>
      </c>
      <c r="U222">
        <v>14</v>
      </c>
      <c r="V222">
        <v>7</v>
      </c>
    </row>
    <row r="223" spans="1:22" x14ac:dyDescent="0.25">
      <c r="A223" t="s">
        <v>467</v>
      </c>
      <c r="B223" t="s">
        <v>281</v>
      </c>
      <c r="C223">
        <v>2451</v>
      </c>
      <c r="D223" t="s">
        <v>478</v>
      </c>
      <c r="E223">
        <v>1.8</v>
      </c>
      <c r="F223">
        <v>3150</v>
      </c>
      <c r="G223" t="s">
        <v>296</v>
      </c>
      <c r="H223">
        <v>109</v>
      </c>
      <c r="I223" t="s">
        <v>11</v>
      </c>
      <c r="J223" s="1">
        <v>43053</v>
      </c>
      <c r="K223">
        <v>120</v>
      </c>
      <c r="L223">
        <v>94</v>
      </c>
      <c r="M223" s="1">
        <v>44364</v>
      </c>
      <c r="N223">
        <f t="shared" si="22"/>
        <v>42.983606557377051</v>
      </c>
      <c r="O223" s="1">
        <f t="shared" si="23"/>
        <v>41497</v>
      </c>
      <c r="P223">
        <v>6</v>
      </c>
      <c r="Q223" s="3">
        <v>17</v>
      </c>
      <c r="R223" s="3">
        <v>7.8</v>
      </c>
      <c r="S223" t="s">
        <v>664</v>
      </c>
      <c r="T223" t="str">
        <f t="shared" si="25"/>
        <v>601/17/G</v>
      </c>
      <c r="U223">
        <v>14</v>
      </c>
      <c r="V223">
        <v>7</v>
      </c>
    </row>
    <row r="224" spans="1:22" x14ac:dyDescent="0.25">
      <c r="A224" t="s">
        <v>467</v>
      </c>
      <c r="B224" t="s">
        <v>281</v>
      </c>
      <c r="C224">
        <v>2451</v>
      </c>
      <c r="D224" t="s">
        <v>478</v>
      </c>
      <c r="E224">
        <v>1.8</v>
      </c>
      <c r="F224">
        <v>3150</v>
      </c>
      <c r="G224" t="s">
        <v>297</v>
      </c>
      <c r="H224">
        <v>146</v>
      </c>
      <c r="I224" t="s">
        <v>11</v>
      </c>
      <c r="J224" s="1">
        <v>44085</v>
      </c>
      <c r="K224">
        <v>120</v>
      </c>
      <c r="L224">
        <v>126</v>
      </c>
      <c r="M224" s="1">
        <v>44364</v>
      </c>
      <c r="N224">
        <f t="shared" si="22"/>
        <v>9.1475409836065573</v>
      </c>
      <c r="O224" s="1">
        <f t="shared" si="23"/>
        <v>40521</v>
      </c>
      <c r="P224">
        <v>6</v>
      </c>
      <c r="Q224" s="3">
        <v>17</v>
      </c>
      <c r="R224" s="3">
        <v>7.8</v>
      </c>
      <c r="S224" t="s">
        <v>665</v>
      </c>
      <c r="T224" t="str">
        <f t="shared" si="25"/>
        <v>415/20/G</v>
      </c>
      <c r="U224">
        <v>14</v>
      </c>
      <c r="V224">
        <v>7</v>
      </c>
    </row>
    <row r="225" spans="1:22" x14ac:dyDescent="0.25">
      <c r="A225" t="s">
        <v>467</v>
      </c>
      <c r="B225" t="s">
        <v>281</v>
      </c>
      <c r="C225">
        <v>2451</v>
      </c>
      <c r="D225" t="s">
        <v>478</v>
      </c>
      <c r="E225">
        <v>1.8</v>
      </c>
      <c r="F225">
        <v>3150</v>
      </c>
      <c r="G225" t="s">
        <v>667</v>
      </c>
      <c r="H225">
        <v>83</v>
      </c>
      <c r="I225" t="s">
        <v>11</v>
      </c>
      <c r="J225" s="1">
        <v>44015</v>
      </c>
      <c r="K225">
        <v>120</v>
      </c>
      <c r="L225">
        <v>224</v>
      </c>
      <c r="M225" s="1">
        <v>44364</v>
      </c>
      <c r="N225">
        <f t="shared" si="22"/>
        <v>11.442622950819672</v>
      </c>
      <c r="O225" s="1">
        <f t="shared" si="23"/>
        <v>37532</v>
      </c>
      <c r="P225">
        <v>6</v>
      </c>
      <c r="Q225" s="3">
        <v>17</v>
      </c>
      <c r="R225" s="3">
        <v>7.8</v>
      </c>
      <c r="S225" t="s">
        <v>666</v>
      </c>
      <c r="T225" t="str">
        <f t="shared" si="25"/>
        <v>417/20/G</v>
      </c>
      <c r="U225">
        <v>14</v>
      </c>
      <c r="V225">
        <v>7</v>
      </c>
    </row>
    <row r="226" spans="1:22" x14ac:dyDescent="0.25">
      <c r="A226" t="s">
        <v>467</v>
      </c>
      <c r="B226" t="s">
        <v>307</v>
      </c>
      <c r="C226">
        <v>3425</v>
      </c>
      <c r="D226" t="s">
        <v>479</v>
      </c>
      <c r="E226">
        <v>2.25</v>
      </c>
      <c r="F226">
        <v>3150</v>
      </c>
      <c r="G226" t="s">
        <v>308</v>
      </c>
      <c r="H226">
        <v>246</v>
      </c>
      <c r="I226" t="s">
        <v>11</v>
      </c>
      <c r="J226" s="1">
        <v>41618</v>
      </c>
      <c r="K226">
        <v>120</v>
      </c>
      <c r="L226">
        <v>90</v>
      </c>
      <c r="M226" s="1">
        <v>44357</v>
      </c>
      <c r="N226">
        <f t="shared" si="22"/>
        <v>89.803278688524586</v>
      </c>
      <c r="O226" s="1">
        <f t="shared" si="23"/>
        <v>41618</v>
      </c>
      <c r="P226">
        <v>6</v>
      </c>
      <c r="Q226" s="3">
        <v>15</v>
      </c>
      <c r="R226" s="3">
        <v>7.8</v>
      </c>
      <c r="S226" t="s">
        <v>718</v>
      </c>
      <c r="T226" t="str">
        <f>S240</f>
        <v>124/20/G</v>
      </c>
      <c r="U226">
        <v>14</v>
      </c>
      <c r="V226">
        <v>7</v>
      </c>
    </row>
    <row r="227" spans="1:22" x14ac:dyDescent="0.25">
      <c r="A227" t="s">
        <v>467</v>
      </c>
      <c r="B227" t="s">
        <v>307</v>
      </c>
      <c r="C227">
        <v>3425</v>
      </c>
      <c r="D227" t="s">
        <v>479</v>
      </c>
      <c r="E227">
        <v>2.25</v>
      </c>
      <c r="F227">
        <v>3150</v>
      </c>
      <c r="G227" t="s">
        <v>309</v>
      </c>
      <c r="H227">
        <v>249</v>
      </c>
      <c r="I227" t="s">
        <v>11</v>
      </c>
      <c r="J227" s="1">
        <v>41618</v>
      </c>
      <c r="K227">
        <v>120</v>
      </c>
      <c r="L227">
        <v>90</v>
      </c>
      <c r="M227" s="1">
        <v>44357</v>
      </c>
      <c r="N227">
        <f t="shared" si="22"/>
        <v>89.803278688524586</v>
      </c>
      <c r="O227" s="1">
        <f t="shared" si="23"/>
        <v>41618</v>
      </c>
      <c r="P227">
        <v>6</v>
      </c>
      <c r="Q227" s="3">
        <v>15</v>
      </c>
      <c r="R227" s="3">
        <v>7.8</v>
      </c>
      <c r="S227" t="s">
        <v>719</v>
      </c>
      <c r="T227" t="str">
        <f>S226</f>
        <v>508/13/G</v>
      </c>
      <c r="U227">
        <v>14</v>
      </c>
      <c r="V227">
        <v>7</v>
      </c>
    </row>
    <row r="228" spans="1:22" x14ac:dyDescent="0.25">
      <c r="A228" t="s">
        <v>467</v>
      </c>
      <c r="B228" t="s">
        <v>307</v>
      </c>
      <c r="C228">
        <v>3425</v>
      </c>
      <c r="D228" t="s">
        <v>479</v>
      </c>
      <c r="E228">
        <v>2.25</v>
      </c>
      <c r="F228">
        <v>3150</v>
      </c>
      <c r="G228" t="s">
        <v>310</v>
      </c>
      <c r="H228">
        <v>249</v>
      </c>
      <c r="I228" t="s">
        <v>11</v>
      </c>
      <c r="J228" s="1">
        <v>41618</v>
      </c>
      <c r="K228">
        <v>120</v>
      </c>
      <c r="L228">
        <v>90</v>
      </c>
      <c r="M228" s="1">
        <v>44357</v>
      </c>
      <c r="N228">
        <f t="shared" si="22"/>
        <v>89.803278688524586</v>
      </c>
      <c r="O228" s="1">
        <f t="shared" si="23"/>
        <v>41618</v>
      </c>
      <c r="P228">
        <v>6</v>
      </c>
      <c r="Q228" s="3">
        <v>15</v>
      </c>
      <c r="R228" s="3">
        <v>7.8</v>
      </c>
      <c r="S228" t="s">
        <v>720</v>
      </c>
      <c r="T228" t="str">
        <f t="shared" ref="T228:T240" si="26">S227</f>
        <v>436/13/G</v>
      </c>
      <c r="U228">
        <v>14</v>
      </c>
      <c r="V228">
        <v>7</v>
      </c>
    </row>
    <row r="229" spans="1:22" x14ac:dyDescent="0.25">
      <c r="A229" t="s">
        <v>467</v>
      </c>
      <c r="B229" t="s">
        <v>307</v>
      </c>
      <c r="C229">
        <v>3425</v>
      </c>
      <c r="D229" t="s">
        <v>479</v>
      </c>
      <c r="E229">
        <v>2.25</v>
      </c>
      <c r="F229">
        <v>3150</v>
      </c>
      <c r="G229" t="s">
        <v>320</v>
      </c>
      <c r="H229">
        <v>247</v>
      </c>
      <c r="I229" t="s">
        <v>11</v>
      </c>
      <c r="J229" s="1">
        <v>41618</v>
      </c>
      <c r="K229">
        <v>120</v>
      </c>
      <c r="L229">
        <v>90</v>
      </c>
      <c r="M229" s="1">
        <v>44357</v>
      </c>
      <c r="N229">
        <f t="shared" si="22"/>
        <v>89.803278688524586</v>
      </c>
      <c r="O229" s="1">
        <f t="shared" si="23"/>
        <v>41618</v>
      </c>
      <c r="P229">
        <v>6</v>
      </c>
      <c r="Q229" s="3">
        <v>15</v>
      </c>
      <c r="R229" s="3">
        <v>7.8</v>
      </c>
      <c r="S229" t="s">
        <v>721</v>
      </c>
      <c r="T229" t="str">
        <f t="shared" si="26"/>
        <v>424/13/G</v>
      </c>
      <c r="U229">
        <v>14</v>
      </c>
      <c r="V229">
        <v>7</v>
      </c>
    </row>
    <row r="230" spans="1:22" x14ac:dyDescent="0.25">
      <c r="A230" t="s">
        <v>467</v>
      </c>
      <c r="B230" t="s">
        <v>307</v>
      </c>
      <c r="C230">
        <v>3425</v>
      </c>
      <c r="D230" t="s">
        <v>479</v>
      </c>
      <c r="E230">
        <v>2.25</v>
      </c>
      <c r="F230">
        <v>3150</v>
      </c>
      <c r="G230" t="s">
        <v>311</v>
      </c>
      <c r="H230">
        <v>245</v>
      </c>
      <c r="I230" t="s">
        <v>11</v>
      </c>
      <c r="J230" s="1">
        <v>41618</v>
      </c>
      <c r="K230">
        <v>120</v>
      </c>
      <c r="L230">
        <v>90</v>
      </c>
      <c r="M230" s="1">
        <v>44357</v>
      </c>
      <c r="N230">
        <f t="shared" si="22"/>
        <v>89.803278688524586</v>
      </c>
      <c r="O230" s="1">
        <f t="shared" si="23"/>
        <v>41618</v>
      </c>
      <c r="P230">
        <v>6</v>
      </c>
      <c r="Q230" s="3">
        <v>15</v>
      </c>
      <c r="R230" s="3">
        <v>7.8</v>
      </c>
      <c r="S230" t="s">
        <v>722</v>
      </c>
      <c r="T230" t="str">
        <f t="shared" si="26"/>
        <v>715/14/G</v>
      </c>
      <c r="U230">
        <v>14</v>
      </c>
      <c r="V230">
        <v>7</v>
      </c>
    </row>
    <row r="231" spans="1:22" x14ac:dyDescent="0.25">
      <c r="A231" t="s">
        <v>467</v>
      </c>
      <c r="B231" t="s">
        <v>307</v>
      </c>
      <c r="C231">
        <v>3425</v>
      </c>
      <c r="D231" t="s">
        <v>479</v>
      </c>
      <c r="E231">
        <v>2.25</v>
      </c>
      <c r="F231">
        <v>3150</v>
      </c>
      <c r="G231" t="s">
        <v>312</v>
      </c>
      <c r="H231">
        <v>247</v>
      </c>
      <c r="I231" t="s">
        <v>11</v>
      </c>
      <c r="J231" s="1">
        <v>41618</v>
      </c>
      <c r="K231">
        <v>120</v>
      </c>
      <c r="L231">
        <v>90</v>
      </c>
      <c r="M231" s="1">
        <v>44357</v>
      </c>
      <c r="N231">
        <f t="shared" si="22"/>
        <v>89.803278688524586</v>
      </c>
      <c r="O231" s="1">
        <f t="shared" si="23"/>
        <v>41618</v>
      </c>
      <c r="P231">
        <v>6</v>
      </c>
      <c r="Q231" s="3">
        <v>15</v>
      </c>
      <c r="R231" s="3">
        <v>7.8</v>
      </c>
      <c r="S231" t="s">
        <v>723</v>
      </c>
      <c r="T231" t="str">
        <f t="shared" si="26"/>
        <v>123/20/G</v>
      </c>
      <c r="U231">
        <v>14</v>
      </c>
      <c r="V231">
        <v>7</v>
      </c>
    </row>
    <row r="232" spans="1:22" x14ac:dyDescent="0.25">
      <c r="A232" t="s">
        <v>467</v>
      </c>
      <c r="B232" t="s">
        <v>307</v>
      </c>
      <c r="C232">
        <v>3425</v>
      </c>
      <c r="D232" t="s">
        <v>479</v>
      </c>
      <c r="E232">
        <v>2.25</v>
      </c>
      <c r="F232">
        <v>3150</v>
      </c>
      <c r="G232" t="s">
        <v>313</v>
      </c>
      <c r="H232">
        <v>249</v>
      </c>
      <c r="I232" t="s">
        <v>11</v>
      </c>
      <c r="J232" s="1">
        <v>41618</v>
      </c>
      <c r="K232">
        <v>120</v>
      </c>
      <c r="L232">
        <v>90</v>
      </c>
      <c r="M232" s="1">
        <v>44357</v>
      </c>
      <c r="N232">
        <f t="shared" si="22"/>
        <v>89.803278688524586</v>
      </c>
      <c r="O232" s="1">
        <f t="shared" si="23"/>
        <v>41618</v>
      </c>
      <c r="P232">
        <v>6</v>
      </c>
      <c r="Q232" s="3">
        <v>15</v>
      </c>
      <c r="R232" s="3">
        <v>7.8</v>
      </c>
      <c r="S232" t="s">
        <v>724</v>
      </c>
      <c r="T232" t="str">
        <f t="shared" si="26"/>
        <v>377/13/G</v>
      </c>
      <c r="U232">
        <v>14</v>
      </c>
      <c r="V232">
        <v>7</v>
      </c>
    </row>
    <row r="233" spans="1:22" x14ac:dyDescent="0.25">
      <c r="A233" t="s">
        <v>467</v>
      </c>
      <c r="B233" t="s">
        <v>307</v>
      </c>
      <c r="C233">
        <v>3425</v>
      </c>
      <c r="D233" t="s">
        <v>479</v>
      </c>
      <c r="E233">
        <v>2.25</v>
      </c>
      <c r="F233">
        <v>3150</v>
      </c>
      <c r="G233" t="s">
        <v>314</v>
      </c>
      <c r="H233">
        <v>248</v>
      </c>
      <c r="I233" t="s">
        <v>11</v>
      </c>
      <c r="J233" s="1">
        <v>41618</v>
      </c>
      <c r="K233">
        <v>120</v>
      </c>
      <c r="L233">
        <v>90</v>
      </c>
      <c r="M233" s="1">
        <v>44357</v>
      </c>
      <c r="N233">
        <f t="shared" si="22"/>
        <v>89.803278688524586</v>
      </c>
      <c r="O233" s="1">
        <f t="shared" si="23"/>
        <v>41618</v>
      </c>
      <c r="P233">
        <v>6</v>
      </c>
      <c r="Q233" s="3">
        <v>15</v>
      </c>
      <c r="R233" s="3">
        <v>7.8</v>
      </c>
      <c r="S233" t="s">
        <v>725</v>
      </c>
      <c r="T233" t="str">
        <f t="shared" si="26"/>
        <v>378/13/G</v>
      </c>
      <c r="U233">
        <v>14</v>
      </c>
      <c r="V233">
        <v>7</v>
      </c>
    </row>
    <row r="234" spans="1:22" x14ac:dyDescent="0.25">
      <c r="A234" t="s">
        <v>467</v>
      </c>
      <c r="B234" t="s">
        <v>307</v>
      </c>
      <c r="C234">
        <v>3425</v>
      </c>
      <c r="D234" t="s">
        <v>479</v>
      </c>
      <c r="E234">
        <v>2.25</v>
      </c>
      <c r="F234">
        <v>3150</v>
      </c>
      <c r="G234" t="s">
        <v>315</v>
      </c>
      <c r="H234">
        <v>249</v>
      </c>
      <c r="I234" t="s">
        <v>11</v>
      </c>
      <c r="J234" s="1">
        <v>41618</v>
      </c>
      <c r="K234">
        <v>120</v>
      </c>
      <c r="L234">
        <v>90</v>
      </c>
      <c r="M234" s="1">
        <v>44357</v>
      </c>
      <c r="N234">
        <f t="shared" si="22"/>
        <v>89.803278688524586</v>
      </c>
      <c r="O234" s="1">
        <f t="shared" si="23"/>
        <v>41618</v>
      </c>
      <c r="P234">
        <v>6</v>
      </c>
      <c r="Q234" s="3">
        <v>15</v>
      </c>
      <c r="R234" s="3">
        <v>7.8</v>
      </c>
      <c r="S234" t="s">
        <v>726</v>
      </c>
      <c r="T234" t="str">
        <f t="shared" si="26"/>
        <v>600/13/G</v>
      </c>
      <c r="U234">
        <v>14</v>
      </c>
      <c r="V234">
        <v>7</v>
      </c>
    </row>
    <row r="235" spans="1:22" x14ac:dyDescent="0.25">
      <c r="A235" t="s">
        <v>467</v>
      </c>
      <c r="B235" t="s">
        <v>307</v>
      </c>
      <c r="C235">
        <v>3425</v>
      </c>
      <c r="D235" t="s">
        <v>479</v>
      </c>
      <c r="E235">
        <v>2.25</v>
      </c>
      <c r="F235">
        <v>3150</v>
      </c>
      <c r="G235" t="s">
        <v>316</v>
      </c>
      <c r="H235">
        <v>249</v>
      </c>
      <c r="I235" t="s">
        <v>11</v>
      </c>
      <c r="J235" s="1">
        <v>41618</v>
      </c>
      <c r="K235">
        <v>120</v>
      </c>
      <c r="L235">
        <v>90</v>
      </c>
      <c r="M235" s="1">
        <v>44357</v>
      </c>
      <c r="N235">
        <f t="shared" si="22"/>
        <v>89.803278688524586</v>
      </c>
      <c r="O235" s="1">
        <f t="shared" si="23"/>
        <v>41618</v>
      </c>
      <c r="P235">
        <v>6</v>
      </c>
      <c r="Q235" s="3">
        <v>15</v>
      </c>
      <c r="R235" s="3">
        <v>7.8</v>
      </c>
      <c r="S235" t="s">
        <v>727</v>
      </c>
      <c r="T235" t="str">
        <f t="shared" si="26"/>
        <v>379/13/G</v>
      </c>
      <c r="U235">
        <v>14</v>
      </c>
      <c r="V235">
        <v>7</v>
      </c>
    </row>
    <row r="236" spans="1:22" x14ac:dyDescent="0.25">
      <c r="A236" t="s">
        <v>467</v>
      </c>
      <c r="B236" t="s">
        <v>307</v>
      </c>
      <c r="C236">
        <v>3425</v>
      </c>
      <c r="D236" t="s">
        <v>479</v>
      </c>
      <c r="E236">
        <v>2.25</v>
      </c>
      <c r="F236">
        <v>3150</v>
      </c>
      <c r="G236" t="s">
        <v>317</v>
      </c>
      <c r="H236">
        <v>248</v>
      </c>
      <c r="I236" t="s">
        <v>11</v>
      </c>
      <c r="J236" s="1">
        <v>41618</v>
      </c>
      <c r="K236">
        <v>120</v>
      </c>
      <c r="L236">
        <v>90</v>
      </c>
      <c r="M236" s="1">
        <v>44357</v>
      </c>
      <c r="N236">
        <f t="shared" si="22"/>
        <v>89.803278688524586</v>
      </c>
      <c r="O236" s="1">
        <f t="shared" si="23"/>
        <v>41618</v>
      </c>
      <c r="P236">
        <v>6</v>
      </c>
      <c r="Q236" s="3">
        <v>15</v>
      </c>
      <c r="R236" s="3">
        <v>7.8</v>
      </c>
      <c r="S236" t="s">
        <v>728</v>
      </c>
      <c r="T236" t="str">
        <f t="shared" si="26"/>
        <v>376/13/G</v>
      </c>
      <c r="U236">
        <v>14</v>
      </c>
      <c r="V236">
        <v>7</v>
      </c>
    </row>
    <row r="237" spans="1:22" x14ac:dyDescent="0.25">
      <c r="A237" t="s">
        <v>467</v>
      </c>
      <c r="B237" t="s">
        <v>307</v>
      </c>
      <c r="C237">
        <v>3425</v>
      </c>
      <c r="D237" t="s">
        <v>479</v>
      </c>
      <c r="E237">
        <v>2.25</v>
      </c>
      <c r="F237">
        <v>3150</v>
      </c>
      <c r="G237" t="s">
        <v>100</v>
      </c>
      <c r="H237">
        <v>250</v>
      </c>
      <c r="I237" t="s">
        <v>11</v>
      </c>
      <c r="J237" s="1">
        <v>41618</v>
      </c>
      <c r="K237">
        <v>120</v>
      </c>
      <c r="L237">
        <v>90</v>
      </c>
      <c r="M237" s="1">
        <v>44357</v>
      </c>
      <c r="N237">
        <f t="shared" si="22"/>
        <v>89.803278688524586</v>
      </c>
      <c r="O237" s="1">
        <f t="shared" si="23"/>
        <v>41618</v>
      </c>
      <c r="P237">
        <v>6</v>
      </c>
      <c r="Q237" s="3">
        <v>15</v>
      </c>
      <c r="R237" s="3">
        <v>7.8</v>
      </c>
      <c r="S237" t="s">
        <v>729</v>
      </c>
      <c r="T237" t="str">
        <f t="shared" si="26"/>
        <v>395/13/G</v>
      </c>
      <c r="U237">
        <v>14</v>
      </c>
      <c r="V237">
        <v>7</v>
      </c>
    </row>
    <row r="238" spans="1:22" x14ac:dyDescent="0.25">
      <c r="A238" t="s">
        <v>467</v>
      </c>
      <c r="B238" t="s">
        <v>307</v>
      </c>
      <c r="C238">
        <v>3425</v>
      </c>
      <c r="D238" t="s">
        <v>479</v>
      </c>
      <c r="E238">
        <v>2.25</v>
      </c>
      <c r="F238">
        <v>3150</v>
      </c>
      <c r="G238" t="s">
        <v>318</v>
      </c>
      <c r="H238">
        <v>241</v>
      </c>
      <c r="I238" t="s">
        <v>11</v>
      </c>
      <c r="J238" s="1">
        <v>41618</v>
      </c>
      <c r="K238">
        <v>120</v>
      </c>
      <c r="L238">
        <v>90</v>
      </c>
      <c r="M238" s="1">
        <v>44357</v>
      </c>
      <c r="N238">
        <f t="shared" si="22"/>
        <v>89.803278688524586</v>
      </c>
      <c r="O238" s="1">
        <f t="shared" si="23"/>
        <v>41618</v>
      </c>
      <c r="P238">
        <v>6</v>
      </c>
      <c r="Q238" s="3">
        <v>15</v>
      </c>
      <c r="R238" s="3">
        <v>7.8</v>
      </c>
      <c r="S238" t="s">
        <v>730</v>
      </c>
      <c r="T238" t="str">
        <f t="shared" si="26"/>
        <v>442/13/G</v>
      </c>
      <c r="U238">
        <v>14</v>
      </c>
      <c r="V238">
        <v>7</v>
      </c>
    </row>
    <row r="239" spans="1:22" x14ac:dyDescent="0.25">
      <c r="A239" t="s">
        <v>467</v>
      </c>
      <c r="B239" t="s">
        <v>307</v>
      </c>
      <c r="C239">
        <v>3425</v>
      </c>
      <c r="D239" t="s">
        <v>479</v>
      </c>
      <c r="E239">
        <v>2.25</v>
      </c>
      <c r="F239">
        <v>3150</v>
      </c>
      <c r="G239" t="s">
        <v>118</v>
      </c>
      <c r="H239">
        <v>148</v>
      </c>
      <c r="I239" t="s">
        <v>11</v>
      </c>
      <c r="J239" s="1">
        <v>43906</v>
      </c>
      <c r="K239">
        <v>120</v>
      </c>
      <c r="L239">
        <v>88</v>
      </c>
      <c r="M239" s="1">
        <v>44357</v>
      </c>
      <c r="N239">
        <f t="shared" si="22"/>
        <v>14.78688524590164</v>
      </c>
      <c r="O239" s="1">
        <f t="shared" si="23"/>
        <v>41673</v>
      </c>
      <c r="P239">
        <v>6</v>
      </c>
      <c r="Q239" s="3">
        <v>15</v>
      </c>
      <c r="R239" s="3">
        <v>7.8</v>
      </c>
      <c r="S239" t="s">
        <v>731</v>
      </c>
      <c r="T239" t="str">
        <f t="shared" si="26"/>
        <v>126/20/G</v>
      </c>
      <c r="U239">
        <v>14</v>
      </c>
      <c r="V239">
        <v>7</v>
      </c>
    </row>
    <row r="240" spans="1:22" x14ac:dyDescent="0.25">
      <c r="A240" t="s">
        <v>467</v>
      </c>
      <c r="B240" t="s">
        <v>307</v>
      </c>
      <c r="C240">
        <v>3425</v>
      </c>
      <c r="D240" t="s">
        <v>479</v>
      </c>
      <c r="E240">
        <v>2.25</v>
      </c>
      <c r="F240">
        <v>3150</v>
      </c>
      <c r="G240" t="s">
        <v>319</v>
      </c>
      <c r="H240">
        <v>60</v>
      </c>
      <c r="I240" t="s">
        <v>11</v>
      </c>
      <c r="J240" s="1">
        <v>43906</v>
      </c>
      <c r="K240">
        <v>120</v>
      </c>
      <c r="L240">
        <v>88</v>
      </c>
      <c r="M240" s="1">
        <v>44357</v>
      </c>
      <c r="N240">
        <f t="shared" si="22"/>
        <v>14.78688524590164</v>
      </c>
      <c r="O240" s="1">
        <f t="shared" si="23"/>
        <v>41673</v>
      </c>
      <c r="P240">
        <v>6</v>
      </c>
      <c r="Q240" s="3">
        <v>15</v>
      </c>
      <c r="R240" s="3">
        <v>7.8</v>
      </c>
      <c r="S240" t="s">
        <v>732</v>
      </c>
      <c r="T240" t="str">
        <f t="shared" si="26"/>
        <v>728/13/G</v>
      </c>
      <c r="U240">
        <v>14</v>
      </c>
      <c r="V240">
        <v>7</v>
      </c>
    </row>
    <row r="241" spans="1:22" x14ac:dyDescent="0.25">
      <c r="A241" t="s">
        <v>467</v>
      </c>
      <c r="B241" t="s">
        <v>89</v>
      </c>
      <c r="C241">
        <v>3472</v>
      </c>
      <c r="D241" t="s">
        <v>479</v>
      </c>
      <c r="E241">
        <v>2.25</v>
      </c>
      <c r="F241">
        <v>3150</v>
      </c>
      <c r="G241" t="s">
        <v>90</v>
      </c>
      <c r="H241">
        <v>249</v>
      </c>
      <c r="I241" t="s">
        <v>11</v>
      </c>
      <c r="J241" s="1">
        <v>43871</v>
      </c>
      <c r="K241">
        <v>120</v>
      </c>
      <c r="L241">
        <v>38</v>
      </c>
      <c r="M241" s="1">
        <v>45029</v>
      </c>
      <c r="N241">
        <f t="shared" si="22"/>
        <v>37.967213114754095</v>
      </c>
      <c r="O241" s="1">
        <f t="shared" si="23"/>
        <v>43871</v>
      </c>
      <c r="P241">
        <v>6</v>
      </c>
      <c r="Q241" s="3">
        <v>15</v>
      </c>
      <c r="R241" s="3">
        <v>7.8</v>
      </c>
      <c r="S241" t="s">
        <v>733</v>
      </c>
      <c r="T241" t="str">
        <f>S255</f>
        <v>49/20/G</v>
      </c>
      <c r="U241">
        <v>14</v>
      </c>
      <c r="V241">
        <v>7</v>
      </c>
    </row>
    <row r="242" spans="1:22" x14ac:dyDescent="0.25">
      <c r="A242" t="s">
        <v>467</v>
      </c>
      <c r="B242" t="s">
        <v>89</v>
      </c>
      <c r="C242">
        <v>3472</v>
      </c>
      <c r="D242" t="s">
        <v>479</v>
      </c>
      <c r="E242">
        <v>2.25</v>
      </c>
      <c r="F242">
        <v>3150</v>
      </c>
      <c r="G242" t="s">
        <v>91</v>
      </c>
      <c r="H242">
        <v>246</v>
      </c>
      <c r="I242" t="s">
        <v>11</v>
      </c>
      <c r="J242" s="1">
        <v>41625</v>
      </c>
      <c r="K242">
        <v>120</v>
      </c>
      <c r="L242">
        <v>112</v>
      </c>
      <c r="M242" s="1">
        <v>45029</v>
      </c>
      <c r="N242">
        <f t="shared" si="22"/>
        <v>111.60655737704919</v>
      </c>
      <c r="O242" s="1">
        <f t="shared" si="23"/>
        <v>41625</v>
      </c>
      <c r="P242">
        <v>6</v>
      </c>
      <c r="Q242" s="3">
        <v>15</v>
      </c>
      <c r="R242" s="3">
        <v>7.8</v>
      </c>
      <c r="S242" t="s">
        <v>734</v>
      </c>
      <c r="T242" t="str">
        <f>S241</f>
        <v>55/20/G</v>
      </c>
      <c r="U242">
        <v>14</v>
      </c>
      <c r="V242">
        <v>7</v>
      </c>
    </row>
    <row r="243" spans="1:22" x14ac:dyDescent="0.25">
      <c r="A243" t="s">
        <v>467</v>
      </c>
      <c r="B243" t="s">
        <v>89</v>
      </c>
      <c r="C243">
        <v>3472</v>
      </c>
      <c r="D243" t="s">
        <v>479</v>
      </c>
      <c r="E243">
        <v>2.25</v>
      </c>
      <c r="F243">
        <v>3150</v>
      </c>
      <c r="G243" t="s">
        <v>92</v>
      </c>
      <c r="H243">
        <v>249</v>
      </c>
      <c r="I243" t="s">
        <v>11</v>
      </c>
      <c r="J243" s="1">
        <v>41625</v>
      </c>
      <c r="K243">
        <v>120</v>
      </c>
      <c r="L243">
        <v>112</v>
      </c>
      <c r="M243" s="1">
        <v>45029</v>
      </c>
      <c r="N243">
        <f t="shared" si="22"/>
        <v>111.60655737704919</v>
      </c>
      <c r="O243" s="1">
        <f t="shared" si="23"/>
        <v>41625</v>
      </c>
      <c r="P243">
        <v>6</v>
      </c>
      <c r="Q243" s="3">
        <v>15</v>
      </c>
      <c r="R243" s="3">
        <v>7.8</v>
      </c>
      <c r="S243" t="s">
        <v>735</v>
      </c>
      <c r="T243" t="str">
        <f t="shared" ref="T243:T255" si="27">S242</f>
        <v>687/13/G</v>
      </c>
      <c r="U243">
        <v>14</v>
      </c>
      <c r="V243">
        <v>7</v>
      </c>
    </row>
    <row r="244" spans="1:22" x14ac:dyDescent="0.25">
      <c r="A244" t="s">
        <v>467</v>
      </c>
      <c r="B244" t="s">
        <v>89</v>
      </c>
      <c r="C244">
        <v>3472</v>
      </c>
      <c r="D244" t="s">
        <v>479</v>
      </c>
      <c r="E244">
        <v>2.25</v>
      </c>
      <c r="F244">
        <v>3150</v>
      </c>
      <c r="G244" t="s">
        <v>93</v>
      </c>
      <c r="H244">
        <v>254</v>
      </c>
      <c r="I244" t="s">
        <v>11</v>
      </c>
      <c r="J244" s="1">
        <v>41625</v>
      </c>
      <c r="K244">
        <v>120</v>
      </c>
      <c r="L244">
        <v>112</v>
      </c>
      <c r="M244" s="1">
        <v>45029</v>
      </c>
      <c r="N244">
        <f t="shared" si="22"/>
        <v>111.60655737704919</v>
      </c>
      <c r="O244" s="1">
        <f t="shared" si="23"/>
        <v>41625</v>
      </c>
      <c r="P244">
        <v>6</v>
      </c>
      <c r="Q244" s="3">
        <v>15</v>
      </c>
      <c r="R244" s="3">
        <v>7.8</v>
      </c>
      <c r="S244" t="s">
        <v>736</v>
      </c>
      <c r="T244" t="str">
        <f t="shared" si="27"/>
        <v>692/13/G</v>
      </c>
      <c r="U244">
        <v>14</v>
      </c>
      <c r="V244">
        <v>7</v>
      </c>
    </row>
    <row r="245" spans="1:22" x14ac:dyDescent="0.25">
      <c r="A245" t="s">
        <v>467</v>
      </c>
      <c r="B245" t="s">
        <v>89</v>
      </c>
      <c r="C245">
        <v>3472</v>
      </c>
      <c r="D245" t="s">
        <v>479</v>
      </c>
      <c r="E245">
        <v>2.25</v>
      </c>
      <c r="F245">
        <v>3150</v>
      </c>
      <c r="G245" t="s">
        <v>94</v>
      </c>
      <c r="H245">
        <v>248</v>
      </c>
      <c r="I245" t="s">
        <v>11</v>
      </c>
      <c r="J245" s="1">
        <v>41625</v>
      </c>
      <c r="K245">
        <v>120</v>
      </c>
      <c r="L245">
        <v>112</v>
      </c>
      <c r="M245" s="1">
        <v>45029</v>
      </c>
      <c r="N245">
        <f t="shared" si="22"/>
        <v>111.60655737704919</v>
      </c>
      <c r="O245" s="1">
        <f t="shared" si="23"/>
        <v>41625</v>
      </c>
      <c r="P245">
        <v>6</v>
      </c>
      <c r="Q245" s="3">
        <v>15</v>
      </c>
      <c r="R245" s="3">
        <v>7.8</v>
      </c>
      <c r="S245" t="s">
        <v>737</v>
      </c>
      <c r="T245" t="str">
        <f t="shared" si="27"/>
        <v>579/13/G</v>
      </c>
      <c r="U245">
        <v>14</v>
      </c>
      <c r="V245">
        <v>7</v>
      </c>
    </row>
    <row r="246" spans="1:22" x14ac:dyDescent="0.25">
      <c r="A246" t="s">
        <v>467</v>
      </c>
      <c r="B246" t="s">
        <v>89</v>
      </c>
      <c r="C246">
        <v>3472</v>
      </c>
      <c r="D246" t="s">
        <v>479</v>
      </c>
      <c r="E246">
        <v>2.25</v>
      </c>
      <c r="F246">
        <v>3150</v>
      </c>
      <c r="G246" t="s">
        <v>95</v>
      </c>
      <c r="H246">
        <v>249</v>
      </c>
      <c r="I246" t="s">
        <v>11</v>
      </c>
      <c r="J246" s="1">
        <v>41625</v>
      </c>
      <c r="K246">
        <v>120</v>
      </c>
      <c r="L246">
        <v>112</v>
      </c>
      <c r="M246" s="1">
        <v>45029</v>
      </c>
      <c r="N246">
        <f t="shared" si="22"/>
        <v>111.60655737704919</v>
      </c>
      <c r="O246" s="1">
        <f t="shared" si="23"/>
        <v>41625</v>
      </c>
      <c r="P246">
        <v>6</v>
      </c>
      <c r="Q246" s="3">
        <v>15</v>
      </c>
      <c r="R246" s="3">
        <v>7.8</v>
      </c>
      <c r="S246" t="s">
        <v>738</v>
      </c>
      <c r="T246" t="str">
        <f t="shared" si="27"/>
        <v>557/13/G</v>
      </c>
      <c r="U246">
        <v>14</v>
      </c>
      <c r="V246">
        <v>7</v>
      </c>
    </row>
    <row r="247" spans="1:22" x14ac:dyDescent="0.25">
      <c r="A247" t="s">
        <v>467</v>
      </c>
      <c r="B247" t="s">
        <v>89</v>
      </c>
      <c r="C247">
        <v>3472</v>
      </c>
      <c r="D247" t="s">
        <v>479</v>
      </c>
      <c r="E247">
        <v>2.25</v>
      </c>
      <c r="F247">
        <v>3150</v>
      </c>
      <c r="G247" t="s">
        <v>96</v>
      </c>
      <c r="H247">
        <v>247</v>
      </c>
      <c r="I247" t="s">
        <v>11</v>
      </c>
      <c r="J247" s="1">
        <v>41625</v>
      </c>
      <c r="K247">
        <v>120</v>
      </c>
      <c r="L247">
        <v>112</v>
      </c>
      <c r="M247" s="1">
        <v>45029</v>
      </c>
      <c r="N247">
        <f t="shared" si="22"/>
        <v>111.60655737704919</v>
      </c>
      <c r="O247" s="1">
        <f t="shared" si="23"/>
        <v>41625</v>
      </c>
      <c r="P247">
        <v>6</v>
      </c>
      <c r="Q247" s="3">
        <v>15</v>
      </c>
      <c r="R247" s="3">
        <v>7.8</v>
      </c>
      <c r="S247" t="s">
        <v>739</v>
      </c>
      <c r="T247" t="str">
        <f t="shared" si="27"/>
        <v>555/13/G</v>
      </c>
      <c r="U247">
        <v>14</v>
      </c>
      <c r="V247">
        <v>7</v>
      </c>
    </row>
    <row r="248" spans="1:22" x14ac:dyDescent="0.25">
      <c r="A248" t="s">
        <v>467</v>
      </c>
      <c r="B248" t="s">
        <v>89</v>
      </c>
      <c r="C248">
        <v>3472</v>
      </c>
      <c r="D248" t="s">
        <v>479</v>
      </c>
      <c r="E248">
        <v>2.25</v>
      </c>
      <c r="F248">
        <v>3150</v>
      </c>
      <c r="G248" t="s">
        <v>97</v>
      </c>
      <c r="H248">
        <v>249</v>
      </c>
      <c r="I248" t="s">
        <v>11</v>
      </c>
      <c r="J248" s="1">
        <v>41625</v>
      </c>
      <c r="K248">
        <v>120</v>
      </c>
      <c r="L248">
        <v>112</v>
      </c>
      <c r="M248" s="1">
        <v>45029</v>
      </c>
      <c r="N248">
        <f t="shared" si="22"/>
        <v>111.60655737704919</v>
      </c>
      <c r="O248" s="1">
        <f t="shared" si="23"/>
        <v>41625</v>
      </c>
      <c r="P248">
        <v>6</v>
      </c>
      <c r="Q248" s="3">
        <v>15</v>
      </c>
      <c r="R248" s="3">
        <v>7.8</v>
      </c>
      <c r="S248" t="s">
        <v>740</v>
      </c>
      <c r="T248" t="str">
        <f t="shared" si="27"/>
        <v>558/13/G</v>
      </c>
      <c r="U248">
        <v>14</v>
      </c>
      <c r="V248">
        <v>7</v>
      </c>
    </row>
    <row r="249" spans="1:22" x14ac:dyDescent="0.25">
      <c r="A249" t="s">
        <v>467</v>
      </c>
      <c r="B249" t="s">
        <v>89</v>
      </c>
      <c r="C249">
        <v>3472</v>
      </c>
      <c r="D249" t="s">
        <v>479</v>
      </c>
      <c r="E249">
        <v>2.25</v>
      </c>
      <c r="F249">
        <v>3150</v>
      </c>
      <c r="G249" t="s">
        <v>98</v>
      </c>
      <c r="H249">
        <v>245</v>
      </c>
      <c r="I249" t="s">
        <v>11</v>
      </c>
      <c r="J249" s="1">
        <v>41625</v>
      </c>
      <c r="K249">
        <v>120</v>
      </c>
      <c r="L249">
        <v>112</v>
      </c>
      <c r="M249" s="1">
        <v>45029</v>
      </c>
      <c r="N249">
        <f t="shared" si="22"/>
        <v>111.60655737704919</v>
      </c>
      <c r="O249" s="1">
        <f t="shared" si="23"/>
        <v>41625</v>
      </c>
      <c r="P249">
        <v>6</v>
      </c>
      <c r="Q249" s="3">
        <v>15</v>
      </c>
      <c r="R249" s="3">
        <v>7.8</v>
      </c>
      <c r="S249" t="s">
        <v>741</v>
      </c>
      <c r="T249" t="str">
        <f t="shared" si="27"/>
        <v>578/13/G</v>
      </c>
      <c r="U249">
        <v>14</v>
      </c>
      <c r="V249">
        <v>7</v>
      </c>
    </row>
    <row r="250" spans="1:22" x14ac:dyDescent="0.25">
      <c r="A250" t="s">
        <v>467</v>
      </c>
      <c r="B250" t="s">
        <v>89</v>
      </c>
      <c r="C250">
        <v>3472</v>
      </c>
      <c r="D250" t="s">
        <v>479</v>
      </c>
      <c r="E250">
        <v>2.25</v>
      </c>
      <c r="F250">
        <v>3150</v>
      </c>
      <c r="G250" t="s">
        <v>99</v>
      </c>
      <c r="H250">
        <v>26</v>
      </c>
      <c r="I250" t="s">
        <v>11</v>
      </c>
      <c r="J250" s="1">
        <v>44720</v>
      </c>
      <c r="K250">
        <v>120</v>
      </c>
      <c r="L250">
        <v>84</v>
      </c>
      <c r="M250" s="1">
        <v>45029</v>
      </c>
      <c r="N250">
        <f t="shared" si="22"/>
        <v>10.131147540983607</v>
      </c>
      <c r="O250" s="1">
        <f t="shared" si="23"/>
        <v>42467</v>
      </c>
      <c r="P250">
        <v>6</v>
      </c>
      <c r="Q250" s="3">
        <v>15</v>
      </c>
      <c r="R250" s="3">
        <v>7.8</v>
      </c>
      <c r="S250" t="s">
        <v>742</v>
      </c>
      <c r="T250" t="str">
        <f t="shared" si="27"/>
        <v>186/22/G</v>
      </c>
      <c r="U250">
        <v>14</v>
      </c>
      <c r="V250">
        <v>7</v>
      </c>
    </row>
    <row r="251" spans="1:22" x14ac:dyDescent="0.25">
      <c r="A251" t="s">
        <v>467</v>
      </c>
      <c r="B251" t="s">
        <v>89</v>
      </c>
      <c r="C251">
        <v>3472</v>
      </c>
      <c r="D251" t="s">
        <v>479</v>
      </c>
      <c r="E251">
        <v>2.25</v>
      </c>
      <c r="F251">
        <v>3150</v>
      </c>
      <c r="G251" t="s">
        <v>100</v>
      </c>
      <c r="H251">
        <v>248</v>
      </c>
      <c r="I251" t="s">
        <v>11</v>
      </c>
      <c r="J251" s="1">
        <v>41625</v>
      </c>
      <c r="K251">
        <v>120</v>
      </c>
      <c r="L251">
        <v>112</v>
      </c>
      <c r="M251" s="1">
        <v>45029</v>
      </c>
      <c r="N251">
        <f t="shared" si="22"/>
        <v>111.60655737704919</v>
      </c>
      <c r="O251" s="1">
        <f t="shared" si="23"/>
        <v>41625</v>
      </c>
      <c r="P251">
        <v>6</v>
      </c>
      <c r="Q251" s="3">
        <v>15</v>
      </c>
      <c r="R251" s="3">
        <v>7.8</v>
      </c>
      <c r="S251" t="s">
        <v>743</v>
      </c>
      <c r="T251" t="str">
        <f t="shared" si="27"/>
        <v>183/22/G</v>
      </c>
      <c r="U251">
        <v>14</v>
      </c>
      <c r="V251">
        <v>7</v>
      </c>
    </row>
    <row r="252" spans="1:22" x14ac:dyDescent="0.25">
      <c r="A252" t="s">
        <v>467</v>
      </c>
      <c r="B252" t="s">
        <v>89</v>
      </c>
      <c r="C252">
        <v>3472</v>
      </c>
      <c r="D252" t="s">
        <v>479</v>
      </c>
      <c r="E252">
        <v>2.25</v>
      </c>
      <c r="F252">
        <v>3150</v>
      </c>
      <c r="G252" t="s">
        <v>101</v>
      </c>
      <c r="H252">
        <v>250</v>
      </c>
      <c r="I252" t="s">
        <v>11</v>
      </c>
      <c r="J252" s="1">
        <v>41625</v>
      </c>
      <c r="K252">
        <v>120</v>
      </c>
      <c r="L252">
        <v>112</v>
      </c>
      <c r="M252" s="1">
        <v>45029</v>
      </c>
      <c r="N252">
        <f t="shared" si="22"/>
        <v>111.60655737704919</v>
      </c>
      <c r="O252" s="1">
        <f t="shared" si="23"/>
        <v>41625</v>
      </c>
      <c r="P252">
        <v>6</v>
      </c>
      <c r="Q252" s="3">
        <v>15</v>
      </c>
      <c r="R252" s="3">
        <v>7.8</v>
      </c>
      <c r="S252" t="s">
        <v>744</v>
      </c>
      <c r="T252" t="str">
        <f t="shared" si="27"/>
        <v>641/13/G</v>
      </c>
      <c r="U252">
        <v>14</v>
      </c>
      <c r="V252">
        <v>7</v>
      </c>
    </row>
    <row r="253" spans="1:22" x14ac:dyDescent="0.25">
      <c r="A253" t="s">
        <v>467</v>
      </c>
      <c r="B253" t="s">
        <v>89</v>
      </c>
      <c r="C253">
        <v>3472</v>
      </c>
      <c r="D253" t="s">
        <v>479</v>
      </c>
      <c r="E253">
        <v>2.25</v>
      </c>
      <c r="F253">
        <v>3150</v>
      </c>
      <c r="G253" t="s">
        <v>102</v>
      </c>
      <c r="H253">
        <v>250</v>
      </c>
      <c r="I253" t="s">
        <v>11</v>
      </c>
      <c r="J253" s="1">
        <v>41625</v>
      </c>
      <c r="K253">
        <v>120</v>
      </c>
      <c r="L253">
        <v>112</v>
      </c>
      <c r="M253" s="1">
        <v>45029</v>
      </c>
      <c r="N253">
        <f t="shared" si="22"/>
        <v>111.60655737704919</v>
      </c>
      <c r="O253" s="1">
        <f t="shared" si="23"/>
        <v>41625</v>
      </c>
      <c r="P253">
        <v>6</v>
      </c>
      <c r="Q253" s="3">
        <v>15</v>
      </c>
      <c r="R253" s="3">
        <v>7.8</v>
      </c>
      <c r="S253" t="s">
        <v>745</v>
      </c>
      <c r="T253" t="str">
        <f t="shared" si="27"/>
        <v>690/13/G</v>
      </c>
      <c r="U253">
        <v>14</v>
      </c>
      <c r="V253">
        <v>7</v>
      </c>
    </row>
    <row r="254" spans="1:22" x14ac:dyDescent="0.25">
      <c r="A254" t="s">
        <v>467</v>
      </c>
      <c r="B254" t="s">
        <v>89</v>
      </c>
      <c r="C254">
        <v>3472</v>
      </c>
      <c r="D254" t="s">
        <v>479</v>
      </c>
      <c r="E254">
        <v>2.25</v>
      </c>
      <c r="F254">
        <v>3150</v>
      </c>
      <c r="G254" t="s">
        <v>103</v>
      </c>
      <c r="H254">
        <v>214</v>
      </c>
      <c r="I254" t="s">
        <v>11</v>
      </c>
      <c r="J254" s="1">
        <v>41625</v>
      </c>
      <c r="K254">
        <v>120</v>
      </c>
      <c r="L254">
        <v>112</v>
      </c>
      <c r="M254" s="1">
        <v>45029</v>
      </c>
      <c r="N254">
        <f t="shared" ref="N254:N317" si="28">(M254-J254)/30.5</f>
        <v>111.60655737704919</v>
      </c>
      <c r="O254" s="1">
        <f t="shared" ref="O254:O317" si="29">IF(ABS(L254-N254)&lt;1, J254, M254-L254*30.5)</f>
        <v>41625</v>
      </c>
      <c r="P254">
        <v>6</v>
      </c>
      <c r="Q254" s="3">
        <v>15</v>
      </c>
      <c r="R254" s="3">
        <v>7.8</v>
      </c>
      <c r="S254" t="s">
        <v>746</v>
      </c>
      <c r="T254" t="str">
        <f t="shared" si="27"/>
        <v>615/13/G</v>
      </c>
      <c r="U254">
        <v>14</v>
      </c>
      <c r="V254">
        <v>7</v>
      </c>
    </row>
    <row r="255" spans="1:22" x14ac:dyDescent="0.25">
      <c r="A255" t="s">
        <v>467</v>
      </c>
      <c r="B255" t="s">
        <v>89</v>
      </c>
      <c r="C255">
        <v>3472</v>
      </c>
      <c r="D255" t="s">
        <v>479</v>
      </c>
      <c r="E255">
        <v>2.25</v>
      </c>
      <c r="F255">
        <v>3150</v>
      </c>
      <c r="G255" t="s">
        <v>104</v>
      </c>
      <c r="H255">
        <v>248</v>
      </c>
      <c r="I255" t="s">
        <v>11</v>
      </c>
      <c r="J255" s="1">
        <v>43871</v>
      </c>
      <c r="K255">
        <v>120</v>
      </c>
      <c r="L255">
        <v>38</v>
      </c>
      <c r="M255" s="1">
        <v>45029</v>
      </c>
      <c r="N255">
        <f t="shared" si="28"/>
        <v>37.967213114754095</v>
      </c>
      <c r="O255" s="1">
        <f t="shared" si="29"/>
        <v>43871</v>
      </c>
      <c r="P255">
        <v>6</v>
      </c>
      <c r="Q255" s="3">
        <v>15</v>
      </c>
      <c r="R255" s="3">
        <v>7.8</v>
      </c>
      <c r="S255" t="s">
        <v>747</v>
      </c>
      <c r="T255" t="str">
        <f t="shared" si="27"/>
        <v>60/20/G</v>
      </c>
      <c r="U255">
        <v>14</v>
      </c>
      <c r="V255">
        <v>7</v>
      </c>
    </row>
    <row r="256" spans="1:22" x14ac:dyDescent="0.25">
      <c r="A256" t="s">
        <v>467</v>
      </c>
      <c r="B256" t="s">
        <v>105</v>
      </c>
      <c r="C256">
        <v>2367</v>
      </c>
      <c r="D256" t="s">
        <v>479</v>
      </c>
      <c r="E256">
        <v>2.25</v>
      </c>
      <c r="F256">
        <v>3150</v>
      </c>
      <c r="G256" t="s">
        <v>106</v>
      </c>
      <c r="H256">
        <v>250</v>
      </c>
      <c r="I256" t="s">
        <v>11</v>
      </c>
      <c r="J256" s="1">
        <v>41614</v>
      </c>
      <c r="K256">
        <v>120</v>
      </c>
      <c r="L256">
        <v>112</v>
      </c>
      <c r="M256" s="1">
        <v>45029</v>
      </c>
      <c r="N256">
        <f t="shared" si="28"/>
        <v>111.9672131147541</v>
      </c>
      <c r="O256" s="1">
        <f t="shared" si="29"/>
        <v>41614</v>
      </c>
      <c r="P256">
        <v>6</v>
      </c>
      <c r="Q256" s="3">
        <v>14</v>
      </c>
      <c r="R256" s="3">
        <v>7.8</v>
      </c>
      <c r="S256" t="s">
        <v>748</v>
      </c>
      <c r="T256" t="str">
        <f>S269</f>
        <v>683/13/G</v>
      </c>
      <c r="U256">
        <v>14</v>
      </c>
      <c r="V256">
        <v>7</v>
      </c>
    </row>
    <row r="257" spans="1:22" x14ac:dyDescent="0.25">
      <c r="A257" t="s">
        <v>467</v>
      </c>
      <c r="B257" t="s">
        <v>105</v>
      </c>
      <c r="C257">
        <v>2367</v>
      </c>
      <c r="D257" t="s">
        <v>479</v>
      </c>
      <c r="E257">
        <v>2.25</v>
      </c>
      <c r="F257">
        <v>3150</v>
      </c>
      <c r="G257" t="s">
        <v>107</v>
      </c>
      <c r="H257">
        <v>250</v>
      </c>
      <c r="I257" t="s">
        <v>11</v>
      </c>
      <c r="J257" s="1">
        <v>41614</v>
      </c>
      <c r="K257">
        <v>120</v>
      </c>
      <c r="L257">
        <v>112</v>
      </c>
      <c r="M257" s="1">
        <v>45029</v>
      </c>
      <c r="N257">
        <f t="shared" si="28"/>
        <v>111.9672131147541</v>
      </c>
      <c r="O257" s="1">
        <f t="shared" si="29"/>
        <v>41614</v>
      </c>
      <c r="P257">
        <v>6</v>
      </c>
      <c r="Q257" s="3">
        <v>14</v>
      </c>
      <c r="R257" s="3">
        <v>7.8</v>
      </c>
      <c r="S257" t="s">
        <v>749</v>
      </c>
      <c r="T257" t="str">
        <f>S256</f>
        <v>672/13/G</v>
      </c>
      <c r="U257">
        <v>14</v>
      </c>
      <c r="V257">
        <v>7</v>
      </c>
    </row>
    <row r="258" spans="1:22" x14ac:dyDescent="0.25">
      <c r="A258" t="s">
        <v>467</v>
      </c>
      <c r="B258" t="s">
        <v>105</v>
      </c>
      <c r="C258">
        <v>2367</v>
      </c>
      <c r="D258" t="s">
        <v>479</v>
      </c>
      <c r="E258">
        <v>2.25</v>
      </c>
      <c r="F258">
        <v>3150</v>
      </c>
      <c r="G258" t="s">
        <v>108</v>
      </c>
      <c r="H258">
        <v>248</v>
      </c>
      <c r="I258" t="s">
        <v>11</v>
      </c>
      <c r="J258" s="1">
        <v>41614</v>
      </c>
      <c r="K258">
        <v>120</v>
      </c>
      <c r="L258">
        <v>112</v>
      </c>
      <c r="M258" s="1">
        <v>45029</v>
      </c>
      <c r="N258">
        <f t="shared" si="28"/>
        <v>111.9672131147541</v>
      </c>
      <c r="O258" s="1">
        <f t="shared" si="29"/>
        <v>41614</v>
      </c>
      <c r="P258">
        <v>6</v>
      </c>
      <c r="Q258" s="3">
        <v>14</v>
      </c>
      <c r="R258" s="3">
        <v>7.8</v>
      </c>
      <c r="S258" t="s">
        <v>750</v>
      </c>
      <c r="T258" t="str">
        <f t="shared" ref="T258:T269" si="30">S257</f>
        <v>664/13/G</v>
      </c>
      <c r="U258">
        <v>14</v>
      </c>
      <c r="V258">
        <v>7</v>
      </c>
    </row>
    <row r="259" spans="1:22" x14ac:dyDescent="0.25">
      <c r="A259" t="s">
        <v>467</v>
      </c>
      <c r="B259" t="s">
        <v>105</v>
      </c>
      <c r="C259">
        <v>2367</v>
      </c>
      <c r="D259" t="s">
        <v>479</v>
      </c>
      <c r="E259">
        <v>2.25</v>
      </c>
      <c r="F259">
        <v>3150</v>
      </c>
      <c r="G259" t="s">
        <v>109</v>
      </c>
      <c r="H259">
        <v>65</v>
      </c>
      <c r="I259" t="s">
        <v>11</v>
      </c>
      <c r="J259" s="1">
        <v>41614</v>
      </c>
      <c r="K259">
        <v>120</v>
      </c>
      <c r="L259">
        <v>112</v>
      </c>
      <c r="M259" s="1">
        <v>45029</v>
      </c>
      <c r="N259">
        <f t="shared" si="28"/>
        <v>111.9672131147541</v>
      </c>
      <c r="O259" s="1">
        <f t="shared" si="29"/>
        <v>41614</v>
      </c>
      <c r="P259">
        <v>6</v>
      </c>
      <c r="Q259" s="3">
        <v>14</v>
      </c>
      <c r="R259" s="3">
        <v>7.8</v>
      </c>
      <c r="S259" t="s">
        <v>751</v>
      </c>
      <c r="T259" t="str">
        <f t="shared" si="30"/>
        <v>614/13/G</v>
      </c>
      <c r="U259">
        <v>14</v>
      </c>
      <c r="V259">
        <v>7</v>
      </c>
    </row>
    <row r="260" spans="1:22" x14ac:dyDescent="0.25">
      <c r="A260" t="s">
        <v>467</v>
      </c>
      <c r="B260" t="s">
        <v>105</v>
      </c>
      <c r="C260">
        <v>2367</v>
      </c>
      <c r="D260" t="s">
        <v>479</v>
      </c>
      <c r="E260">
        <v>2.25</v>
      </c>
      <c r="F260">
        <v>3150</v>
      </c>
      <c r="G260" t="s">
        <v>110</v>
      </c>
      <c r="H260">
        <v>27</v>
      </c>
      <c r="I260" t="s">
        <v>11</v>
      </c>
      <c r="J260" s="1">
        <v>44707</v>
      </c>
      <c r="K260">
        <v>120</v>
      </c>
      <c r="L260">
        <v>27</v>
      </c>
      <c r="M260" s="1">
        <v>45029</v>
      </c>
      <c r="N260">
        <f t="shared" si="28"/>
        <v>10.557377049180328</v>
      </c>
      <c r="O260" s="1">
        <f t="shared" si="29"/>
        <v>44205.5</v>
      </c>
      <c r="P260">
        <v>6</v>
      </c>
      <c r="Q260" s="3">
        <v>14</v>
      </c>
      <c r="R260" s="3">
        <v>7.8</v>
      </c>
      <c r="S260" t="s">
        <v>752</v>
      </c>
      <c r="T260" t="str">
        <f t="shared" si="30"/>
        <v>170/22/G</v>
      </c>
      <c r="U260">
        <v>14</v>
      </c>
      <c r="V260">
        <v>7</v>
      </c>
    </row>
    <row r="261" spans="1:22" x14ac:dyDescent="0.25">
      <c r="A261" t="s">
        <v>467</v>
      </c>
      <c r="B261" t="s">
        <v>105</v>
      </c>
      <c r="C261">
        <v>2367</v>
      </c>
      <c r="D261" t="s">
        <v>479</v>
      </c>
      <c r="E261">
        <v>2.25</v>
      </c>
      <c r="F261">
        <v>3150</v>
      </c>
      <c r="G261" t="s">
        <v>111</v>
      </c>
      <c r="H261">
        <v>24</v>
      </c>
      <c r="I261" t="s">
        <v>11</v>
      </c>
      <c r="J261" s="1">
        <v>42801</v>
      </c>
      <c r="K261">
        <v>120</v>
      </c>
      <c r="L261">
        <v>110</v>
      </c>
      <c r="M261" s="1">
        <v>45029</v>
      </c>
      <c r="N261">
        <f t="shared" si="28"/>
        <v>73.049180327868854</v>
      </c>
      <c r="O261" s="1">
        <f t="shared" si="29"/>
        <v>41674</v>
      </c>
      <c r="P261">
        <v>6</v>
      </c>
      <c r="Q261" s="3">
        <v>14</v>
      </c>
      <c r="R261" s="3">
        <v>7.8</v>
      </c>
      <c r="S261" t="s">
        <v>753</v>
      </c>
      <c r="T261" t="str">
        <f t="shared" si="30"/>
        <v>169/22/G</v>
      </c>
      <c r="U261">
        <v>14</v>
      </c>
      <c r="V261">
        <v>7</v>
      </c>
    </row>
    <row r="262" spans="1:22" x14ac:dyDescent="0.25">
      <c r="A262" t="s">
        <v>467</v>
      </c>
      <c r="B262" t="s">
        <v>105</v>
      </c>
      <c r="C262">
        <v>2367</v>
      </c>
      <c r="D262" t="s">
        <v>479</v>
      </c>
      <c r="E262">
        <v>2.25</v>
      </c>
      <c r="F262">
        <v>3150</v>
      </c>
      <c r="G262" t="s">
        <v>112</v>
      </c>
      <c r="H262">
        <v>128</v>
      </c>
      <c r="I262" t="s">
        <v>11</v>
      </c>
      <c r="J262" s="1">
        <v>41614</v>
      </c>
      <c r="K262">
        <v>120</v>
      </c>
      <c r="L262">
        <v>112</v>
      </c>
      <c r="M262" s="1">
        <v>45029</v>
      </c>
      <c r="N262">
        <f t="shared" si="28"/>
        <v>111.9672131147541</v>
      </c>
      <c r="O262" s="1">
        <f t="shared" si="29"/>
        <v>41614</v>
      </c>
      <c r="P262">
        <v>6</v>
      </c>
      <c r="Q262" s="3">
        <v>14</v>
      </c>
      <c r="R262" s="3">
        <v>7.8</v>
      </c>
      <c r="S262" t="s">
        <v>754</v>
      </c>
      <c r="T262" t="str">
        <f t="shared" si="30"/>
        <v>129/17/G</v>
      </c>
      <c r="U262">
        <v>14</v>
      </c>
      <c r="V262">
        <v>7</v>
      </c>
    </row>
    <row r="263" spans="1:22" x14ac:dyDescent="0.25">
      <c r="A263" t="s">
        <v>467</v>
      </c>
      <c r="B263" t="s">
        <v>105</v>
      </c>
      <c r="C263">
        <v>2367</v>
      </c>
      <c r="D263" t="s">
        <v>479</v>
      </c>
      <c r="E263">
        <v>2.25</v>
      </c>
      <c r="F263">
        <v>3150</v>
      </c>
      <c r="G263" t="s">
        <v>113</v>
      </c>
      <c r="H263">
        <v>28</v>
      </c>
      <c r="I263" t="s">
        <v>11</v>
      </c>
      <c r="J263" s="1">
        <v>41614</v>
      </c>
      <c r="K263">
        <v>120</v>
      </c>
      <c r="L263">
        <v>112</v>
      </c>
      <c r="M263" s="1">
        <v>45029</v>
      </c>
      <c r="N263">
        <f t="shared" si="28"/>
        <v>111.9672131147541</v>
      </c>
      <c r="O263" s="1">
        <f t="shared" si="29"/>
        <v>41614</v>
      </c>
      <c r="P263">
        <v>6</v>
      </c>
      <c r="Q263" s="3">
        <v>14</v>
      </c>
      <c r="R263" s="3">
        <v>7.8</v>
      </c>
      <c r="S263" t="s">
        <v>755</v>
      </c>
      <c r="T263" t="str">
        <f t="shared" si="30"/>
        <v>130/17/G</v>
      </c>
      <c r="U263">
        <v>14</v>
      </c>
      <c r="V263">
        <v>7</v>
      </c>
    </row>
    <row r="264" spans="1:22" x14ac:dyDescent="0.25">
      <c r="A264" t="s">
        <v>467</v>
      </c>
      <c r="B264" t="s">
        <v>105</v>
      </c>
      <c r="C264">
        <v>2367</v>
      </c>
      <c r="D264" t="s">
        <v>479</v>
      </c>
      <c r="E264">
        <v>2.25</v>
      </c>
      <c r="F264">
        <v>3150</v>
      </c>
      <c r="G264" t="s">
        <v>114</v>
      </c>
      <c r="H264">
        <v>249</v>
      </c>
      <c r="I264" t="s">
        <v>11</v>
      </c>
      <c r="J264" s="1">
        <v>41614</v>
      </c>
      <c r="K264">
        <v>120</v>
      </c>
      <c r="L264">
        <v>112</v>
      </c>
      <c r="M264" s="1">
        <v>45029</v>
      </c>
      <c r="N264">
        <f t="shared" si="28"/>
        <v>111.9672131147541</v>
      </c>
      <c r="O264" s="1">
        <f t="shared" si="29"/>
        <v>41614</v>
      </c>
      <c r="P264">
        <v>6</v>
      </c>
      <c r="Q264" s="3">
        <v>14</v>
      </c>
      <c r="R264" s="3">
        <v>7.8</v>
      </c>
      <c r="S264" t="s">
        <v>756</v>
      </c>
      <c r="T264" t="str">
        <f t="shared" si="30"/>
        <v>629/13/G</v>
      </c>
      <c r="U264">
        <v>14</v>
      </c>
      <c r="V264">
        <v>7</v>
      </c>
    </row>
    <row r="265" spans="1:22" x14ac:dyDescent="0.25">
      <c r="A265" t="s">
        <v>467</v>
      </c>
      <c r="B265" t="s">
        <v>105</v>
      </c>
      <c r="C265">
        <v>2367</v>
      </c>
      <c r="D265" t="s">
        <v>479</v>
      </c>
      <c r="E265">
        <v>2.25</v>
      </c>
      <c r="F265">
        <v>3150</v>
      </c>
      <c r="G265" t="s">
        <v>119</v>
      </c>
      <c r="H265">
        <v>249</v>
      </c>
      <c r="I265" t="s">
        <v>11</v>
      </c>
      <c r="J265" s="1">
        <v>41614</v>
      </c>
      <c r="K265">
        <v>120</v>
      </c>
      <c r="L265">
        <v>112</v>
      </c>
      <c r="M265" s="1">
        <v>45029</v>
      </c>
      <c r="N265">
        <f t="shared" si="28"/>
        <v>111.9672131147541</v>
      </c>
      <c r="O265" s="1">
        <f t="shared" si="29"/>
        <v>41614</v>
      </c>
      <c r="P265">
        <v>6</v>
      </c>
      <c r="Q265" s="3">
        <v>14</v>
      </c>
      <c r="R265" s="3">
        <v>7.8</v>
      </c>
      <c r="S265" t="s">
        <v>757</v>
      </c>
      <c r="T265" t="str">
        <f t="shared" si="30"/>
        <v>634/13/G</v>
      </c>
      <c r="U265">
        <v>14</v>
      </c>
      <c r="V265">
        <v>7</v>
      </c>
    </row>
    <row r="266" spans="1:22" x14ac:dyDescent="0.25">
      <c r="A266" t="s">
        <v>467</v>
      </c>
      <c r="B266" t="s">
        <v>105</v>
      </c>
      <c r="C266">
        <v>2367</v>
      </c>
      <c r="D266" t="s">
        <v>479</v>
      </c>
      <c r="E266">
        <v>2.25</v>
      </c>
      <c r="F266">
        <v>3150</v>
      </c>
      <c r="G266" t="s">
        <v>115</v>
      </c>
      <c r="H266">
        <v>248</v>
      </c>
      <c r="I266" t="s">
        <v>11</v>
      </c>
      <c r="J266" s="1">
        <v>41614</v>
      </c>
      <c r="K266">
        <v>120</v>
      </c>
      <c r="L266">
        <v>112</v>
      </c>
      <c r="M266" s="1">
        <v>45029</v>
      </c>
      <c r="N266">
        <f t="shared" si="28"/>
        <v>111.9672131147541</v>
      </c>
      <c r="O266" s="1">
        <f t="shared" si="29"/>
        <v>41614</v>
      </c>
      <c r="P266">
        <v>6</v>
      </c>
      <c r="Q266" s="3">
        <v>14</v>
      </c>
      <c r="R266" s="3">
        <v>7.8</v>
      </c>
      <c r="S266" t="s">
        <v>758</v>
      </c>
      <c r="T266" t="str">
        <f t="shared" si="30"/>
        <v>646/13/G</v>
      </c>
      <c r="U266">
        <v>14</v>
      </c>
      <c r="V266">
        <v>7</v>
      </c>
    </row>
    <row r="267" spans="1:22" x14ac:dyDescent="0.25">
      <c r="A267" t="s">
        <v>467</v>
      </c>
      <c r="B267" t="s">
        <v>105</v>
      </c>
      <c r="C267">
        <v>2367</v>
      </c>
      <c r="D267" t="s">
        <v>479</v>
      </c>
      <c r="E267">
        <v>2.25</v>
      </c>
      <c r="F267">
        <v>3150</v>
      </c>
      <c r="G267" t="s">
        <v>116</v>
      </c>
      <c r="H267">
        <v>255</v>
      </c>
      <c r="I267" t="s">
        <v>11</v>
      </c>
      <c r="J267" s="1">
        <v>41614</v>
      </c>
      <c r="K267">
        <v>120</v>
      </c>
      <c r="L267">
        <v>112</v>
      </c>
      <c r="M267" s="1">
        <v>45029</v>
      </c>
      <c r="N267">
        <f t="shared" si="28"/>
        <v>111.9672131147541</v>
      </c>
      <c r="O267" s="1">
        <f t="shared" si="29"/>
        <v>41614</v>
      </c>
      <c r="P267">
        <v>6</v>
      </c>
      <c r="Q267" s="3">
        <v>14</v>
      </c>
      <c r="R267" s="3">
        <v>7.8</v>
      </c>
      <c r="S267" t="s">
        <v>759</v>
      </c>
      <c r="T267" t="str">
        <f t="shared" si="30"/>
        <v>651/13/G</v>
      </c>
      <c r="U267">
        <v>14</v>
      </c>
      <c r="V267">
        <v>7</v>
      </c>
    </row>
    <row r="268" spans="1:22" x14ac:dyDescent="0.25">
      <c r="A268" t="s">
        <v>467</v>
      </c>
      <c r="B268" t="s">
        <v>105</v>
      </c>
      <c r="C268">
        <v>2367</v>
      </c>
      <c r="D268" t="s">
        <v>479</v>
      </c>
      <c r="E268">
        <v>2.25</v>
      </c>
      <c r="F268">
        <v>3150</v>
      </c>
      <c r="G268" t="s">
        <v>117</v>
      </c>
      <c r="H268">
        <v>249</v>
      </c>
      <c r="I268" t="s">
        <v>11</v>
      </c>
      <c r="J268" s="1">
        <v>41614</v>
      </c>
      <c r="K268">
        <v>120</v>
      </c>
      <c r="L268">
        <v>112</v>
      </c>
      <c r="M268" s="1">
        <v>45029</v>
      </c>
      <c r="N268">
        <f t="shared" si="28"/>
        <v>111.9672131147541</v>
      </c>
      <c r="O268" s="1">
        <f t="shared" si="29"/>
        <v>41614</v>
      </c>
      <c r="P268">
        <v>6</v>
      </c>
      <c r="Q268" s="3">
        <v>14</v>
      </c>
      <c r="R268" s="3">
        <v>7.8</v>
      </c>
      <c r="S268" t="s">
        <v>760</v>
      </c>
      <c r="T268" t="str">
        <f t="shared" si="30"/>
        <v>640/13/G</v>
      </c>
      <c r="U268">
        <v>14</v>
      </c>
      <c r="V268">
        <v>7</v>
      </c>
    </row>
    <row r="269" spans="1:22" x14ac:dyDescent="0.25">
      <c r="A269" t="s">
        <v>467</v>
      </c>
      <c r="B269" t="s">
        <v>105</v>
      </c>
      <c r="C269">
        <v>2367</v>
      </c>
      <c r="D269" t="s">
        <v>479</v>
      </c>
      <c r="E269">
        <v>2.25</v>
      </c>
      <c r="F269">
        <v>3150</v>
      </c>
      <c r="G269" t="s">
        <v>118</v>
      </c>
      <c r="H269">
        <v>97</v>
      </c>
      <c r="I269" t="s">
        <v>11</v>
      </c>
      <c r="J269" s="1">
        <v>41614</v>
      </c>
      <c r="K269">
        <v>120</v>
      </c>
      <c r="L269">
        <v>112</v>
      </c>
      <c r="M269" s="1">
        <v>45029</v>
      </c>
      <c r="N269">
        <f t="shared" si="28"/>
        <v>111.9672131147541</v>
      </c>
      <c r="O269" s="1">
        <f t="shared" si="29"/>
        <v>41614</v>
      </c>
      <c r="P269">
        <v>6</v>
      </c>
      <c r="Q269" s="3">
        <v>14</v>
      </c>
      <c r="R269" s="3">
        <v>7.8</v>
      </c>
      <c r="S269" t="s">
        <v>761</v>
      </c>
      <c r="T269" t="str">
        <f t="shared" si="30"/>
        <v>710/13/G</v>
      </c>
      <c r="U269">
        <v>14</v>
      </c>
      <c r="V269">
        <v>7</v>
      </c>
    </row>
    <row r="270" spans="1:22" x14ac:dyDescent="0.25">
      <c r="A270" t="s">
        <v>467</v>
      </c>
      <c r="B270" t="s">
        <v>180</v>
      </c>
      <c r="C270">
        <v>2159</v>
      </c>
      <c r="D270" t="s">
        <v>479</v>
      </c>
      <c r="E270">
        <v>2.25</v>
      </c>
      <c r="F270">
        <v>3150</v>
      </c>
      <c r="G270" t="s">
        <v>181</v>
      </c>
      <c r="H270">
        <v>13</v>
      </c>
      <c r="I270" t="s">
        <v>11</v>
      </c>
      <c r="J270" s="1">
        <v>42723</v>
      </c>
      <c r="K270">
        <v>72</v>
      </c>
      <c r="L270">
        <v>77</v>
      </c>
      <c r="M270" s="1">
        <v>45070</v>
      </c>
      <c r="N270">
        <f t="shared" si="28"/>
        <v>76.950819672131146</v>
      </c>
      <c r="O270" s="1">
        <f t="shared" si="29"/>
        <v>42723</v>
      </c>
      <c r="P270">
        <v>6</v>
      </c>
      <c r="Q270" s="3">
        <v>11</v>
      </c>
      <c r="R270" s="3">
        <v>7.8</v>
      </c>
      <c r="S270" t="s">
        <v>762</v>
      </c>
      <c r="T270" t="str">
        <f>S280</f>
        <v>659/16/G</v>
      </c>
      <c r="U270">
        <v>14</v>
      </c>
      <c r="V270">
        <v>7</v>
      </c>
    </row>
    <row r="271" spans="1:22" x14ac:dyDescent="0.25">
      <c r="A271" t="s">
        <v>467</v>
      </c>
      <c r="B271" t="s">
        <v>180</v>
      </c>
      <c r="C271">
        <v>2159</v>
      </c>
      <c r="D271" t="s">
        <v>479</v>
      </c>
      <c r="E271">
        <v>2.25</v>
      </c>
      <c r="F271">
        <v>3150</v>
      </c>
      <c r="G271" t="s">
        <v>182</v>
      </c>
      <c r="H271">
        <v>248</v>
      </c>
      <c r="I271" t="s">
        <v>11</v>
      </c>
      <c r="J271" s="1">
        <v>42723</v>
      </c>
      <c r="K271">
        <v>72</v>
      </c>
      <c r="L271">
        <v>77</v>
      </c>
      <c r="M271" s="1">
        <v>45070</v>
      </c>
      <c r="N271">
        <f t="shared" si="28"/>
        <v>76.950819672131146</v>
      </c>
      <c r="O271" s="1">
        <f t="shared" si="29"/>
        <v>42723</v>
      </c>
      <c r="P271">
        <v>6</v>
      </c>
      <c r="Q271" s="3">
        <v>11</v>
      </c>
      <c r="R271" s="3">
        <v>7.8</v>
      </c>
      <c r="S271" t="s">
        <v>763</v>
      </c>
      <c r="T271" t="str">
        <f>S270</f>
        <v>A668/16/G</v>
      </c>
      <c r="U271">
        <v>14</v>
      </c>
      <c r="V271">
        <v>7</v>
      </c>
    </row>
    <row r="272" spans="1:22" x14ac:dyDescent="0.25">
      <c r="A272" t="s">
        <v>467</v>
      </c>
      <c r="B272" t="s">
        <v>180</v>
      </c>
      <c r="C272">
        <v>2159</v>
      </c>
      <c r="D272" t="s">
        <v>479</v>
      </c>
      <c r="E272">
        <v>2.25</v>
      </c>
      <c r="F272">
        <v>3150</v>
      </c>
      <c r="G272" t="s">
        <v>183</v>
      </c>
      <c r="H272">
        <v>248</v>
      </c>
      <c r="I272" t="s">
        <v>11</v>
      </c>
      <c r="J272" s="1">
        <v>42723</v>
      </c>
      <c r="K272">
        <v>72</v>
      </c>
      <c r="L272">
        <v>77</v>
      </c>
      <c r="M272" s="1">
        <v>45070</v>
      </c>
      <c r="N272">
        <f t="shared" si="28"/>
        <v>76.950819672131146</v>
      </c>
      <c r="O272" s="1">
        <f t="shared" si="29"/>
        <v>42723</v>
      </c>
      <c r="P272">
        <v>6</v>
      </c>
      <c r="Q272" s="3">
        <v>11</v>
      </c>
      <c r="R272" s="3">
        <v>7.8</v>
      </c>
      <c r="S272" t="s">
        <v>764</v>
      </c>
      <c r="T272" t="str">
        <f t="shared" ref="T272:T280" si="31">S271</f>
        <v>666/16/G</v>
      </c>
      <c r="U272">
        <v>14</v>
      </c>
      <c r="V272">
        <v>7</v>
      </c>
    </row>
    <row r="273" spans="1:22" x14ac:dyDescent="0.25">
      <c r="A273" t="s">
        <v>467</v>
      </c>
      <c r="B273" t="s">
        <v>180</v>
      </c>
      <c r="C273">
        <v>2159</v>
      </c>
      <c r="D273" t="s">
        <v>479</v>
      </c>
      <c r="E273">
        <v>2.25</v>
      </c>
      <c r="F273">
        <v>3150</v>
      </c>
      <c r="G273" t="s">
        <v>184</v>
      </c>
      <c r="H273">
        <v>248</v>
      </c>
      <c r="I273" t="s">
        <v>11</v>
      </c>
      <c r="J273" s="1">
        <v>42723</v>
      </c>
      <c r="K273">
        <v>72</v>
      </c>
      <c r="L273">
        <v>77</v>
      </c>
      <c r="M273" s="1">
        <v>45070</v>
      </c>
      <c r="N273">
        <f t="shared" si="28"/>
        <v>76.950819672131146</v>
      </c>
      <c r="O273" s="1">
        <f t="shared" si="29"/>
        <v>42723</v>
      </c>
      <c r="P273">
        <v>6</v>
      </c>
      <c r="Q273" s="3">
        <v>11</v>
      </c>
      <c r="R273" s="3">
        <v>7.8</v>
      </c>
      <c r="S273" t="s">
        <v>765</v>
      </c>
      <c r="T273" t="str">
        <f t="shared" si="31"/>
        <v>664/16/G</v>
      </c>
      <c r="U273">
        <v>14</v>
      </c>
      <c r="V273">
        <v>7</v>
      </c>
    </row>
    <row r="274" spans="1:22" x14ac:dyDescent="0.25">
      <c r="A274" t="s">
        <v>467</v>
      </c>
      <c r="B274" t="s">
        <v>180</v>
      </c>
      <c r="C274">
        <v>2159</v>
      </c>
      <c r="D274" t="s">
        <v>479</v>
      </c>
      <c r="E274">
        <v>2.25</v>
      </c>
      <c r="F274">
        <v>3150</v>
      </c>
      <c r="G274" t="s">
        <v>185</v>
      </c>
      <c r="H274">
        <v>248</v>
      </c>
      <c r="I274" t="s">
        <v>11</v>
      </c>
      <c r="J274" s="1">
        <v>42723</v>
      </c>
      <c r="K274">
        <v>72</v>
      </c>
      <c r="L274">
        <v>77</v>
      </c>
      <c r="M274" s="1">
        <v>45070</v>
      </c>
      <c r="N274">
        <f t="shared" si="28"/>
        <v>76.950819672131146</v>
      </c>
      <c r="O274" s="1">
        <f t="shared" si="29"/>
        <v>42723</v>
      </c>
      <c r="P274">
        <v>6</v>
      </c>
      <c r="Q274" s="3">
        <v>11</v>
      </c>
      <c r="R274" s="3">
        <v>7.8</v>
      </c>
      <c r="S274" t="s">
        <v>766</v>
      </c>
      <c r="T274" t="str">
        <f t="shared" si="31"/>
        <v>662/16/G</v>
      </c>
      <c r="U274">
        <v>14</v>
      </c>
      <c r="V274">
        <v>7</v>
      </c>
    </row>
    <row r="275" spans="1:22" x14ac:dyDescent="0.25">
      <c r="A275" t="s">
        <v>467</v>
      </c>
      <c r="B275" t="s">
        <v>180</v>
      </c>
      <c r="C275">
        <v>2159</v>
      </c>
      <c r="D275" t="s">
        <v>479</v>
      </c>
      <c r="E275">
        <v>2.25</v>
      </c>
      <c r="F275">
        <v>3150</v>
      </c>
      <c r="G275" t="s">
        <v>186</v>
      </c>
      <c r="H275">
        <v>248</v>
      </c>
      <c r="I275" t="s">
        <v>11</v>
      </c>
      <c r="J275" s="1">
        <v>42723</v>
      </c>
      <c r="K275">
        <v>72</v>
      </c>
      <c r="L275">
        <v>77</v>
      </c>
      <c r="M275" s="1">
        <v>45070</v>
      </c>
      <c r="N275">
        <f t="shared" si="28"/>
        <v>76.950819672131146</v>
      </c>
      <c r="O275" s="1">
        <f t="shared" si="29"/>
        <v>42723</v>
      </c>
      <c r="P275">
        <v>6</v>
      </c>
      <c r="Q275" s="3">
        <v>11</v>
      </c>
      <c r="R275" s="3">
        <v>7.8</v>
      </c>
      <c r="S275" t="s">
        <v>767</v>
      </c>
      <c r="T275" t="str">
        <f t="shared" si="31"/>
        <v>660/16/G</v>
      </c>
      <c r="U275">
        <v>14</v>
      </c>
      <c r="V275">
        <v>7</v>
      </c>
    </row>
    <row r="276" spans="1:22" x14ac:dyDescent="0.25">
      <c r="A276" t="s">
        <v>467</v>
      </c>
      <c r="B276" t="s">
        <v>180</v>
      </c>
      <c r="C276">
        <v>2159</v>
      </c>
      <c r="D276" t="s">
        <v>479</v>
      </c>
      <c r="E276">
        <v>2.25</v>
      </c>
      <c r="F276">
        <v>3150</v>
      </c>
      <c r="G276" t="s">
        <v>187</v>
      </c>
      <c r="H276">
        <v>246</v>
      </c>
      <c r="I276" t="s">
        <v>11</v>
      </c>
      <c r="J276" s="1">
        <v>42338</v>
      </c>
      <c r="K276">
        <v>72</v>
      </c>
      <c r="L276">
        <v>90</v>
      </c>
      <c r="M276" s="1">
        <v>45070</v>
      </c>
      <c r="N276">
        <f t="shared" si="28"/>
        <v>89.573770491803273</v>
      </c>
      <c r="O276" s="1">
        <f t="shared" si="29"/>
        <v>42338</v>
      </c>
      <c r="P276">
        <v>6</v>
      </c>
      <c r="Q276" s="3">
        <v>11</v>
      </c>
      <c r="R276" s="3">
        <v>7.8</v>
      </c>
      <c r="S276" t="s">
        <v>768</v>
      </c>
      <c r="T276" t="str">
        <f t="shared" si="31"/>
        <v>677/16/G</v>
      </c>
      <c r="U276">
        <v>14</v>
      </c>
      <c r="V276">
        <v>7</v>
      </c>
    </row>
    <row r="277" spans="1:22" x14ac:dyDescent="0.25">
      <c r="A277" t="s">
        <v>467</v>
      </c>
      <c r="B277" t="s">
        <v>180</v>
      </c>
      <c r="C277">
        <v>2159</v>
      </c>
      <c r="D277" t="s">
        <v>479</v>
      </c>
      <c r="E277">
        <v>2.25</v>
      </c>
      <c r="F277">
        <v>3150</v>
      </c>
      <c r="G277" t="s">
        <v>188</v>
      </c>
      <c r="H277">
        <v>251</v>
      </c>
      <c r="I277" t="s">
        <v>11</v>
      </c>
      <c r="J277" s="1">
        <v>42338</v>
      </c>
      <c r="K277">
        <v>72</v>
      </c>
      <c r="L277">
        <v>90</v>
      </c>
      <c r="M277" s="1">
        <v>45070</v>
      </c>
      <c r="N277">
        <f t="shared" si="28"/>
        <v>89.573770491803273</v>
      </c>
      <c r="O277" s="1">
        <f t="shared" si="29"/>
        <v>42338</v>
      </c>
      <c r="P277">
        <v>6</v>
      </c>
      <c r="Q277" s="3">
        <v>11</v>
      </c>
      <c r="R277" s="3">
        <v>7.8</v>
      </c>
      <c r="S277" t="s">
        <v>769</v>
      </c>
      <c r="T277" t="str">
        <f t="shared" si="31"/>
        <v>589/15/G</v>
      </c>
      <c r="U277">
        <v>14</v>
      </c>
      <c r="V277">
        <v>7</v>
      </c>
    </row>
    <row r="278" spans="1:22" x14ac:dyDescent="0.25">
      <c r="A278" t="s">
        <v>467</v>
      </c>
      <c r="B278" t="s">
        <v>180</v>
      </c>
      <c r="C278">
        <v>2159</v>
      </c>
      <c r="D278" t="s">
        <v>479</v>
      </c>
      <c r="E278">
        <v>2.25</v>
      </c>
      <c r="F278">
        <v>3150</v>
      </c>
      <c r="G278" t="s">
        <v>189</v>
      </c>
      <c r="H278">
        <v>248</v>
      </c>
      <c r="I278" t="s">
        <v>11</v>
      </c>
      <c r="J278" s="1">
        <v>42338</v>
      </c>
      <c r="K278">
        <v>72</v>
      </c>
      <c r="L278">
        <v>90</v>
      </c>
      <c r="M278" s="1">
        <v>45070</v>
      </c>
      <c r="N278">
        <f t="shared" si="28"/>
        <v>89.573770491803273</v>
      </c>
      <c r="O278" s="1">
        <f t="shared" si="29"/>
        <v>42338</v>
      </c>
      <c r="P278">
        <v>6</v>
      </c>
      <c r="Q278" s="3">
        <v>11</v>
      </c>
      <c r="R278" s="3">
        <v>7.8</v>
      </c>
      <c r="S278" t="s">
        <v>770</v>
      </c>
      <c r="T278" t="str">
        <f t="shared" si="31"/>
        <v>592/15/G</v>
      </c>
      <c r="U278">
        <v>14</v>
      </c>
      <c r="V278">
        <v>7</v>
      </c>
    </row>
    <row r="279" spans="1:22" x14ac:dyDescent="0.25">
      <c r="A279" t="s">
        <v>467</v>
      </c>
      <c r="B279" t="s">
        <v>180</v>
      </c>
      <c r="C279">
        <v>2159</v>
      </c>
      <c r="D279" t="s">
        <v>479</v>
      </c>
      <c r="E279">
        <v>2.25</v>
      </c>
      <c r="F279">
        <v>3150</v>
      </c>
      <c r="G279" t="s">
        <v>190</v>
      </c>
      <c r="H279">
        <v>147</v>
      </c>
      <c r="I279" t="s">
        <v>11</v>
      </c>
      <c r="J279" s="1">
        <v>42338</v>
      </c>
      <c r="K279">
        <v>72</v>
      </c>
      <c r="L279">
        <v>90</v>
      </c>
      <c r="M279" s="1">
        <v>45070</v>
      </c>
      <c r="N279">
        <f t="shared" si="28"/>
        <v>89.573770491803273</v>
      </c>
      <c r="O279" s="1">
        <f t="shared" si="29"/>
        <v>42338</v>
      </c>
      <c r="P279">
        <v>6</v>
      </c>
      <c r="Q279" s="3">
        <v>11</v>
      </c>
      <c r="R279" s="3">
        <v>7.8</v>
      </c>
      <c r="S279" t="s">
        <v>771</v>
      </c>
      <c r="T279" t="str">
        <f t="shared" si="31"/>
        <v>597/15/G</v>
      </c>
      <c r="U279">
        <v>14</v>
      </c>
      <c r="V279">
        <v>7</v>
      </c>
    </row>
    <row r="280" spans="1:22" x14ac:dyDescent="0.25">
      <c r="A280" t="s">
        <v>467</v>
      </c>
      <c r="B280" t="s">
        <v>180</v>
      </c>
      <c r="C280">
        <v>2159</v>
      </c>
      <c r="D280" t="s">
        <v>479</v>
      </c>
      <c r="E280">
        <v>2.25</v>
      </c>
      <c r="F280">
        <v>3150</v>
      </c>
      <c r="G280" t="s">
        <v>191</v>
      </c>
      <c r="H280">
        <v>14</v>
      </c>
      <c r="I280" t="s">
        <v>11</v>
      </c>
      <c r="J280" s="1">
        <v>42723</v>
      </c>
      <c r="K280">
        <v>72</v>
      </c>
      <c r="L280">
        <v>77</v>
      </c>
      <c r="M280" s="1">
        <v>45070</v>
      </c>
      <c r="N280">
        <f t="shared" si="28"/>
        <v>76.950819672131146</v>
      </c>
      <c r="O280" s="1">
        <f t="shared" si="29"/>
        <v>42723</v>
      </c>
      <c r="P280">
        <v>6</v>
      </c>
      <c r="Q280" s="3">
        <v>11</v>
      </c>
      <c r="R280" s="3">
        <v>7.8</v>
      </c>
      <c r="S280" t="s">
        <v>772</v>
      </c>
      <c r="T280" t="str">
        <f t="shared" si="31"/>
        <v>673/16/G</v>
      </c>
      <c r="U280">
        <v>14</v>
      </c>
      <c r="V280">
        <v>7</v>
      </c>
    </row>
    <row r="281" spans="1:22" x14ac:dyDescent="0.25">
      <c r="A281" t="s">
        <v>467</v>
      </c>
      <c r="B281" t="s">
        <v>192</v>
      </c>
      <c r="C281">
        <v>3437</v>
      </c>
      <c r="D281" t="s">
        <v>479</v>
      </c>
      <c r="E281">
        <v>2.25</v>
      </c>
      <c r="F281">
        <v>3150</v>
      </c>
      <c r="G281" t="s">
        <v>193</v>
      </c>
      <c r="H281">
        <v>246</v>
      </c>
      <c r="I281" t="s">
        <v>11</v>
      </c>
      <c r="J281" s="1">
        <v>42338</v>
      </c>
      <c r="K281">
        <v>72</v>
      </c>
      <c r="L281">
        <v>88</v>
      </c>
      <c r="M281" s="1">
        <v>45008</v>
      </c>
      <c r="N281">
        <f t="shared" si="28"/>
        <v>87.540983606557376</v>
      </c>
      <c r="O281" s="1">
        <f t="shared" si="29"/>
        <v>42338</v>
      </c>
      <c r="P281">
        <v>6</v>
      </c>
      <c r="Q281" s="3">
        <v>14</v>
      </c>
      <c r="R281" s="3">
        <v>7.8</v>
      </c>
      <c r="S281" t="s">
        <v>773</v>
      </c>
      <c r="T281" t="str">
        <f>S294</f>
        <v>155/20/G</v>
      </c>
      <c r="U281">
        <v>14</v>
      </c>
      <c r="V281">
        <v>7</v>
      </c>
    </row>
    <row r="282" spans="1:22" x14ac:dyDescent="0.25">
      <c r="A282" t="s">
        <v>467</v>
      </c>
      <c r="B282" t="s">
        <v>192</v>
      </c>
      <c r="C282">
        <v>3437</v>
      </c>
      <c r="D282" t="s">
        <v>479</v>
      </c>
      <c r="E282">
        <v>2.25</v>
      </c>
      <c r="F282">
        <v>3150</v>
      </c>
      <c r="G282" t="s">
        <v>194</v>
      </c>
      <c r="H282">
        <v>247</v>
      </c>
      <c r="I282" t="s">
        <v>11</v>
      </c>
      <c r="J282" s="1">
        <v>42338</v>
      </c>
      <c r="K282">
        <v>72</v>
      </c>
      <c r="L282">
        <v>88</v>
      </c>
      <c r="M282" s="1">
        <v>45008</v>
      </c>
      <c r="N282">
        <f t="shared" si="28"/>
        <v>87.540983606557376</v>
      </c>
      <c r="O282" s="1">
        <f t="shared" si="29"/>
        <v>42338</v>
      </c>
      <c r="P282">
        <v>6</v>
      </c>
      <c r="Q282" s="3">
        <v>14</v>
      </c>
      <c r="R282" s="3">
        <v>7.8</v>
      </c>
      <c r="S282" t="s">
        <v>774</v>
      </c>
      <c r="T282" t="str">
        <f>S281</f>
        <v>613/15/G</v>
      </c>
      <c r="U282">
        <v>14</v>
      </c>
      <c r="V282">
        <v>7</v>
      </c>
    </row>
    <row r="283" spans="1:22" x14ac:dyDescent="0.25">
      <c r="A283" t="s">
        <v>467</v>
      </c>
      <c r="B283" t="s">
        <v>192</v>
      </c>
      <c r="C283">
        <v>3437</v>
      </c>
      <c r="D283" t="s">
        <v>479</v>
      </c>
      <c r="E283">
        <v>2.25</v>
      </c>
      <c r="F283">
        <v>3150</v>
      </c>
      <c r="G283" t="s">
        <v>195</v>
      </c>
      <c r="H283">
        <v>248</v>
      </c>
      <c r="I283" t="s">
        <v>11</v>
      </c>
      <c r="J283" s="1">
        <v>42338</v>
      </c>
      <c r="K283">
        <v>72</v>
      </c>
      <c r="L283">
        <v>88</v>
      </c>
      <c r="M283" s="1">
        <v>45008</v>
      </c>
      <c r="N283">
        <f t="shared" si="28"/>
        <v>87.540983606557376</v>
      </c>
      <c r="O283" s="1">
        <f t="shared" si="29"/>
        <v>42338</v>
      </c>
      <c r="P283">
        <v>6</v>
      </c>
      <c r="Q283" s="3">
        <v>14</v>
      </c>
      <c r="R283" s="3">
        <v>7.8</v>
      </c>
      <c r="S283" t="s">
        <v>775</v>
      </c>
      <c r="T283" t="str">
        <f t="shared" ref="T283:T294" si="32">S282</f>
        <v>550/15/G</v>
      </c>
      <c r="U283">
        <v>14</v>
      </c>
      <c r="V283">
        <v>7</v>
      </c>
    </row>
    <row r="284" spans="1:22" x14ac:dyDescent="0.25">
      <c r="A284" t="s">
        <v>467</v>
      </c>
      <c r="B284" t="s">
        <v>192</v>
      </c>
      <c r="C284">
        <v>3437</v>
      </c>
      <c r="D284" t="s">
        <v>479</v>
      </c>
      <c r="E284">
        <v>2.25</v>
      </c>
      <c r="F284">
        <v>3150</v>
      </c>
      <c r="G284" t="s">
        <v>196</v>
      </c>
      <c r="H284">
        <v>248</v>
      </c>
      <c r="I284" t="s">
        <v>11</v>
      </c>
      <c r="J284" s="1">
        <v>42338</v>
      </c>
      <c r="K284">
        <v>72</v>
      </c>
      <c r="L284">
        <v>88</v>
      </c>
      <c r="M284" s="1">
        <v>45008</v>
      </c>
      <c r="N284">
        <f t="shared" si="28"/>
        <v>87.540983606557376</v>
      </c>
      <c r="O284" s="1">
        <f t="shared" si="29"/>
        <v>42338</v>
      </c>
      <c r="P284">
        <v>6</v>
      </c>
      <c r="Q284" s="3">
        <v>14</v>
      </c>
      <c r="R284" s="3">
        <v>7.8</v>
      </c>
      <c r="S284" t="s">
        <v>776</v>
      </c>
      <c r="T284" t="str">
        <f t="shared" si="32"/>
        <v>536/15/G</v>
      </c>
      <c r="U284">
        <v>14</v>
      </c>
      <c r="V284">
        <v>7</v>
      </c>
    </row>
    <row r="285" spans="1:22" x14ac:dyDescent="0.25">
      <c r="A285" t="s">
        <v>467</v>
      </c>
      <c r="B285" t="s">
        <v>192</v>
      </c>
      <c r="C285">
        <v>3437</v>
      </c>
      <c r="D285" t="s">
        <v>479</v>
      </c>
      <c r="E285">
        <v>2.25</v>
      </c>
      <c r="F285">
        <v>3150</v>
      </c>
      <c r="G285" t="s">
        <v>197</v>
      </c>
      <c r="H285">
        <v>247</v>
      </c>
      <c r="I285" t="s">
        <v>11</v>
      </c>
      <c r="J285" s="1">
        <v>42338</v>
      </c>
      <c r="K285">
        <v>72</v>
      </c>
      <c r="L285">
        <v>88</v>
      </c>
      <c r="M285" s="1">
        <v>45008</v>
      </c>
      <c r="N285">
        <f t="shared" si="28"/>
        <v>87.540983606557376</v>
      </c>
      <c r="O285" s="1">
        <f t="shared" si="29"/>
        <v>42338</v>
      </c>
      <c r="P285">
        <v>6</v>
      </c>
      <c r="Q285" s="3">
        <v>14</v>
      </c>
      <c r="R285" s="3">
        <v>7.8</v>
      </c>
      <c r="S285" t="s">
        <v>777</v>
      </c>
      <c r="T285" t="str">
        <f t="shared" si="32"/>
        <v>567/15/G</v>
      </c>
      <c r="U285">
        <v>14</v>
      </c>
      <c r="V285">
        <v>7</v>
      </c>
    </row>
    <row r="286" spans="1:22" x14ac:dyDescent="0.25">
      <c r="A286" t="s">
        <v>467</v>
      </c>
      <c r="B286" t="s">
        <v>192</v>
      </c>
      <c r="C286">
        <v>3437</v>
      </c>
      <c r="D286" t="s">
        <v>479</v>
      </c>
      <c r="E286">
        <v>2.25</v>
      </c>
      <c r="F286">
        <v>3150</v>
      </c>
      <c r="G286" t="s">
        <v>198</v>
      </c>
      <c r="H286">
        <v>257</v>
      </c>
      <c r="I286" t="s">
        <v>11</v>
      </c>
      <c r="J286" s="1">
        <v>42338</v>
      </c>
      <c r="K286">
        <v>72</v>
      </c>
      <c r="L286">
        <v>88</v>
      </c>
      <c r="M286" s="1">
        <v>45008</v>
      </c>
      <c r="N286">
        <f t="shared" si="28"/>
        <v>87.540983606557376</v>
      </c>
      <c r="O286" s="1">
        <f t="shared" si="29"/>
        <v>42338</v>
      </c>
      <c r="P286">
        <v>6</v>
      </c>
      <c r="Q286" s="3">
        <v>14</v>
      </c>
      <c r="R286" s="3">
        <v>7.8</v>
      </c>
      <c r="S286" t="s">
        <v>778</v>
      </c>
      <c r="T286" t="str">
        <f t="shared" si="32"/>
        <v>154/20/G</v>
      </c>
      <c r="U286">
        <v>14</v>
      </c>
      <c r="V286">
        <v>7</v>
      </c>
    </row>
    <row r="287" spans="1:22" x14ac:dyDescent="0.25">
      <c r="A287" t="s">
        <v>467</v>
      </c>
      <c r="B287" t="s">
        <v>192</v>
      </c>
      <c r="C287">
        <v>3437</v>
      </c>
      <c r="D287" t="s">
        <v>479</v>
      </c>
      <c r="E287">
        <v>2.25</v>
      </c>
      <c r="F287">
        <v>3150</v>
      </c>
      <c r="G287" t="s">
        <v>199</v>
      </c>
      <c r="H287">
        <v>248</v>
      </c>
      <c r="I287" t="s">
        <v>11</v>
      </c>
      <c r="J287" s="1">
        <v>42338</v>
      </c>
      <c r="K287">
        <v>72</v>
      </c>
      <c r="L287">
        <v>88</v>
      </c>
      <c r="M287" s="1">
        <v>45008</v>
      </c>
      <c r="N287">
        <f t="shared" si="28"/>
        <v>87.540983606557376</v>
      </c>
      <c r="O287" s="1">
        <f t="shared" si="29"/>
        <v>42338</v>
      </c>
      <c r="P287">
        <v>6</v>
      </c>
      <c r="Q287" s="3">
        <v>14</v>
      </c>
      <c r="R287" s="3">
        <v>7.8</v>
      </c>
      <c r="S287" t="s">
        <v>779</v>
      </c>
      <c r="T287" t="str">
        <f t="shared" si="32"/>
        <v>574/15/G</v>
      </c>
      <c r="U287">
        <v>14</v>
      </c>
      <c r="V287">
        <v>7</v>
      </c>
    </row>
    <row r="288" spans="1:22" x14ac:dyDescent="0.25">
      <c r="A288" t="s">
        <v>467</v>
      </c>
      <c r="B288" t="s">
        <v>192</v>
      </c>
      <c r="C288">
        <v>3437</v>
      </c>
      <c r="D288" t="s">
        <v>479</v>
      </c>
      <c r="E288">
        <v>2.25</v>
      </c>
      <c r="F288">
        <v>3150</v>
      </c>
      <c r="G288" t="s">
        <v>200</v>
      </c>
      <c r="H288">
        <v>247</v>
      </c>
      <c r="I288" t="s">
        <v>11</v>
      </c>
      <c r="J288" s="1">
        <v>42338</v>
      </c>
      <c r="K288">
        <v>72</v>
      </c>
      <c r="L288">
        <v>88</v>
      </c>
      <c r="M288" s="1">
        <v>45008</v>
      </c>
      <c r="N288">
        <f t="shared" si="28"/>
        <v>87.540983606557376</v>
      </c>
      <c r="O288" s="1">
        <f t="shared" si="29"/>
        <v>42338</v>
      </c>
      <c r="P288">
        <v>6</v>
      </c>
      <c r="Q288" s="3">
        <v>14</v>
      </c>
      <c r="R288" s="3">
        <v>7.8</v>
      </c>
      <c r="S288" t="s">
        <v>780</v>
      </c>
      <c r="T288" t="str">
        <f t="shared" si="32"/>
        <v>586/15/G</v>
      </c>
      <c r="U288">
        <v>14</v>
      </c>
      <c r="V288">
        <v>7</v>
      </c>
    </row>
    <row r="289" spans="1:22" x14ac:dyDescent="0.25">
      <c r="A289" t="s">
        <v>467</v>
      </c>
      <c r="B289" t="s">
        <v>192</v>
      </c>
      <c r="C289">
        <v>3437</v>
      </c>
      <c r="D289" t="s">
        <v>479</v>
      </c>
      <c r="E289">
        <v>2.25</v>
      </c>
      <c r="F289">
        <v>3150</v>
      </c>
      <c r="G289" t="s">
        <v>201</v>
      </c>
      <c r="H289">
        <v>205</v>
      </c>
      <c r="I289" t="s">
        <v>11</v>
      </c>
      <c r="J289" s="1">
        <v>42338</v>
      </c>
      <c r="K289">
        <v>72</v>
      </c>
      <c r="L289">
        <v>88</v>
      </c>
      <c r="M289" s="1">
        <v>45008</v>
      </c>
      <c r="N289">
        <f t="shared" si="28"/>
        <v>87.540983606557376</v>
      </c>
      <c r="O289" s="1">
        <f t="shared" si="29"/>
        <v>42338</v>
      </c>
      <c r="P289">
        <v>6</v>
      </c>
      <c r="Q289" s="3">
        <v>14</v>
      </c>
      <c r="R289" s="3">
        <v>7.8</v>
      </c>
      <c r="S289" t="s">
        <v>781</v>
      </c>
      <c r="T289" t="str">
        <f t="shared" si="32"/>
        <v>616/15/G</v>
      </c>
      <c r="U289">
        <v>14</v>
      </c>
      <c r="V289">
        <v>7</v>
      </c>
    </row>
    <row r="290" spans="1:22" x14ac:dyDescent="0.25">
      <c r="A290" t="s">
        <v>467</v>
      </c>
      <c r="B290" t="s">
        <v>192</v>
      </c>
      <c r="C290">
        <v>3437</v>
      </c>
      <c r="D290" t="s">
        <v>479</v>
      </c>
      <c r="E290">
        <v>2.25</v>
      </c>
      <c r="F290">
        <v>3150</v>
      </c>
      <c r="G290" t="s">
        <v>202</v>
      </c>
      <c r="H290">
        <v>248</v>
      </c>
      <c r="I290" t="s">
        <v>11</v>
      </c>
      <c r="J290" s="1">
        <v>42338</v>
      </c>
      <c r="K290">
        <v>72</v>
      </c>
      <c r="L290">
        <v>88</v>
      </c>
      <c r="M290" s="1">
        <v>45008</v>
      </c>
      <c r="N290">
        <f t="shared" si="28"/>
        <v>87.540983606557376</v>
      </c>
      <c r="O290" s="1">
        <f t="shared" si="29"/>
        <v>42338</v>
      </c>
      <c r="P290">
        <v>6</v>
      </c>
      <c r="Q290" s="3">
        <v>14</v>
      </c>
      <c r="R290" s="3">
        <v>7.8</v>
      </c>
      <c r="S290" t="s">
        <v>782</v>
      </c>
      <c r="T290" t="str">
        <f t="shared" si="32"/>
        <v>575/15/G</v>
      </c>
      <c r="U290">
        <v>14</v>
      </c>
      <c r="V290">
        <v>7</v>
      </c>
    </row>
    <row r="291" spans="1:22" x14ac:dyDescent="0.25">
      <c r="A291" t="s">
        <v>467</v>
      </c>
      <c r="B291" t="s">
        <v>192</v>
      </c>
      <c r="C291">
        <v>3437</v>
      </c>
      <c r="D291" t="s">
        <v>479</v>
      </c>
      <c r="E291">
        <v>2.25</v>
      </c>
      <c r="F291">
        <v>3150</v>
      </c>
      <c r="G291" t="s">
        <v>203</v>
      </c>
      <c r="H291">
        <v>248</v>
      </c>
      <c r="I291" t="s">
        <v>11</v>
      </c>
      <c r="J291" s="1">
        <v>42338</v>
      </c>
      <c r="K291">
        <v>72</v>
      </c>
      <c r="L291">
        <v>88</v>
      </c>
      <c r="M291" s="1">
        <v>45008</v>
      </c>
      <c r="N291">
        <f t="shared" si="28"/>
        <v>87.540983606557376</v>
      </c>
      <c r="O291" s="1">
        <f t="shared" si="29"/>
        <v>42338</v>
      </c>
      <c r="P291">
        <v>6</v>
      </c>
      <c r="Q291" s="3">
        <v>14</v>
      </c>
      <c r="R291" s="3">
        <v>7.8</v>
      </c>
      <c r="S291" t="s">
        <v>783</v>
      </c>
      <c r="T291" t="str">
        <f t="shared" si="32"/>
        <v>571/15/G</v>
      </c>
      <c r="U291">
        <v>14</v>
      </c>
      <c r="V291">
        <v>7</v>
      </c>
    </row>
    <row r="292" spans="1:22" x14ac:dyDescent="0.25">
      <c r="A292" t="s">
        <v>467</v>
      </c>
      <c r="B292" t="s">
        <v>192</v>
      </c>
      <c r="C292">
        <v>3437</v>
      </c>
      <c r="D292" t="s">
        <v>479</v>
      </c>
      <c r="E292">
        <v>2.25</v>
      </c>
      <c r="F292">
        <v>3150</v>
      </c>
      <c r="G292" t="s">
        <v>204</v>
      </c>
      <c r="H292">
        <v>247</v>
      </c>
      <c r="I292" t="s">
        <v>11</v>
      </c>
      <c r="J292" s="1">
        <v>42338</v>
      </c>
      <c r="K292">
        <v>72</v>
      </c>
      <c r="L292">
        <v>88</v>
      </c>
      <c r="M292" s="1">
        <v>45008</v>
      </c>
      <c r="N292">
        <f t="shared" si="28"/>
        <v>87.540983606557376</v>
      </c>
      <c r="O292" s="1">
        <f t="shared" si="29"/>
        <v>42338</v>
      </c>
      <c r="P292">
        <v>6</v>
      </c>
      <c r="Q292" s="3">
        <v>14</v>
      </c>
      <c r="R292" s="3">
        <v>7.8</v>
      </c>
      <c r="S292" t="s">
        <v>784</v>
      </c>
      <c r="T292" t="str">
        <f t="shared" si="32"/>
        <v>614/15/G</v>
      </c>
      <c r="U292">
        <v>14</v>
      </c>
      <c r="V292">
        <v>7</v>
      </c>
    </row>
    <row r="293" spans="1:22" x14ac:dyDescent="0.25">
      <c r="A293" t="s">
        <v>467</v>
      </c>
      <c r="B293" t="s">
        <v>192</v>
      </c>
      <c r="C293">
        <v>3437</v>
      </c>
      <c r="D293" t="s">
        <v>479</v>
      </c>
      <c r="E293">
        <v>2.25</v>
      </c>
      <c r="F293">
        <v>3150</v>
      </c>
      <c r="G293" t="s">
        <v>205</v>
      </c>
      <c r="H293">
        <v>250</v>
      </c>
      <c r="I293" t="s">
        <v>11</v>
      </c>
      <c r="J293" s="1">
        <v>42338</v>
      </c>
      <c r="K293">
        <v>72</v>
      </c>
      <c r="L293">
        <v>88</v>
      </c>
      <c r="M293" s="1">
        <v>45008</v>
      </c>
      <c r="N293">
        <f t="shared" si="28"/>
        <v>87.540983606557376</v>
      </c>
      <c r="O293" s="1">
        <f t="shared" si="29"/>
        <v>42338</v>
      </c>
      <c r="P293">
        <v>6</v>
      </c>
      <c r="Q293" s="3">
        <v>14</v>
      </c>
      <c r="R293" s="3">
        <v>7.8</v>
      </c>
      <c r="S293" t="s">
        <v>785</v>
      </c>
      <c r="T293" t="str">
        <f t="shared" si="32"/>
        <v>573/15/G</v>
      </c>
      <c r="U293">
        <v>14</v>
      </c>
      <c r="V293">
        <v>7</v>
      </c>
    </row>
    <row r="294" spans="1:22" x14ac:dyDescent="0.25">
      <c r="A294" t="s">
        <v>467</v>
      </c>
      <c r="B294" t="s">
        <v>192</v>
      </c>
      <c r="C294">
        <v>3437</v>
      </c>
      <c r="D294" t="s">
        <v>479</v>
      </c>
      <c r="E294">
        <v>2.25</v>
      </c>
      <c r="F294">
        <v>3150</v>
      </c>
      <c r="G294" t="s">
        <v>206</v>
      </c>
      <c r="H294">
        <v>251</v>
      </c>
      <c r="I294" t="s">
        <v>11</v>
      </c>
      <c r="J294" s="1">
        <v>43920</v>
      </c>
      <c r="K294">
        <v>72</v>
      </c>
      <c r="L294">
        <v>97</v>
      </c>
      <c r="M294" s="1">
        <v>45008</v>
      </c>
      <c r="N294">
        <f t="shared" si="28"/>
        <v>35.672131147540981</v>
      </c>
      <c r="O294" s="1">
        <f t="shared" si="29"/>
        <v>42049.5</v>
      </c>
      <c r="P294">
        <v>6</v>
      </c>
      <c r="Q294" s="3">
        <v>14</v>
      </c>
      <c r="R294" s="3">
        <v>7.8</v>
      </c>
      <c r="S294" t="s">
        <v>786</v>
      </c>
      <c r="T294" t="str">
        <f t="shared" si="32"/>
        <v>158/20/G</v>
      </c>
      <c r="U294">
        <v>14</v>
      </c>
      <c r="V294">
        <v>7</v>
      </c>
    </row>
    <row r="295" spans="1:22" x14ac:dyDescent="0.25">
      <c r="A295" t="s">
        <v>467</v>
      </c>
      <c r="B295" t="s">
        <v>207</v>
      </c>
      <c r="C295">
        <v>3163</v>
      </c>
      <c r="D295" t="s">
        <v>479</v>
      </c>
      <c r="E295">
        <v>2.25</v>
      </c>
      <c r="F295">
        <v>3150</v>
      </c>
      <c r="G295" t="s">
        <v>208</v>
      </c>
      <c r="H295">
        <v>248</v>
      </c>
      <c r="I295" t="s">
        <v>11</v>
      </c>
      <c r="J295" s="1">
        <v>42703</v>
      </c>
      <c r="K295">
        <v>72</v>
      </c>
      <c r="L295">
        <v>78</v>
      </c>
      <c r="M295" s="1">
        <v>45070</v>
      </c>
      <c r="N295">
        <f t="shared" si="28"/>
        <v>77.606557377049185</v>
      </c>
      <c r="O295" s="1">
        <f t="shared" si="29"/>
        <v>42703</v>
      </c>
      <c r="P295">
        <v>6</v>
      </c>
      <c r="Q295" s="3">
        <v>13</v>
      </c>
      <c r="R295" s="3">
        <v>7.8</v>
      </c>
      <c r="S295" t="s">
        <v>787</v>
      </c>
      <c r="T295" t="str">
        <f>S307</f>
        <v>546/16/G</v>
      </c>
      <c r="U295">
        <v>14</v>
      </c>
      <c r="V295">
        <v>7</v>
      </c>
    </row>
    <row r="296" spans="1:22" x14ac:dyDescent="0.25">
      <c r="A296" t="s">
        <v>467</v>
      </c>
      <c r="B296" t="s">
        <v>207</v>
      </c>
      <c r="C296">
        <v>3163</v>
      </c>
      <c r="D296" t="s">
        <v>479</v>
      </c>
      <c r="E296">
        <v>2.25</v>
      </c>
      <c r="F296">
        <v>3150</v>
      </c>
      <c r="G296" t="s">
        <v>209</v>
      </c>
      <c r="H296">
        <v>251</v>
      </c>
      <c r="I296" t="s">
        <v>11</v>
      </c>
      <c r="J296" s="1">
        <v>42703</v>
      </c>
      <c r="K296">
        <v>72</v>
      </c>
      <c r="L296">
        <v>78</v>
      </c>
      <c r="M296" s="1">
        <v>45070</v>
      </c>
      <c r="N296">
        <f t="shared" si="28"/>
        <v>77.606557377049185</v>
      </c>
      <c r="O296" s="1">
        <f t="shared" si="29"/>
        <v>42703</v>
      </c>
      <c r="P296">
        <v>6</v>
      </c>
      <c r="Q296" s="3">
        <v>13</v>
      </c>
      <c r="R296" s="3">
        <v>7.8</v>
      </c>
      <c r="S296" t="s">
        <v>788</v>
      </c>
      <c r="T296" t="str">
        <f>S295</f>
        <v>625/16/G</v>
      </c>
      <c r="U296">
        <v>14</v>
      </c>
      <c r="V296">
        <v>7</v>
      </c>
    </row>
    <row r="297" spans="1:22" x14ac:dyDescent="0.25">
      <c r="A297" t="s">
        <v>467</v>
      </c>
      <c r="B297" t="s">
        <v>207</v>
      </c>
      <c r="C297">
        <v>3163</v>
      </c>
      <c r="D297" t="s">
        <v>479</v>
      </c>
      <c r="E297">
        <v>2.25</v>
      </c>
      <c r="F297">
        <v>3150</v>
      </c>
      <c r="G297" t="s">
        <v>210</v>
      </c>
      <c r="H297">
        <v>248</v>
      </c>
      <c r="I297" t="s">
        <v>11</v>
      </c>
      <c r="J297" s="1">
        <v>42703</v>
      </c>
      <c r="K297">
        <v>72</v>
      </c>
      <c r="L297">
        <v>78</v>
      </c>
      <c r="M297" s="1">
        <v>45070</v>
      </c>
      <c r="N297">
        <f t="shared" si="28"/>
        <v>77.606557377049185</v>
      </c>
      <c r="O297" s="1">
        <f t="shared" si="29"/>
        <v>42703</v>
      </c>
      <c r="P297">
        <v>6</v>
      </c>
      <c r="Q297" s="3">
        <v>13</v>
      </c>
      <c r="R297" s="3">
        <v>7.8</v>
      </c>
      <c r="S297" t="s">
        <v>789</v>
      </c>
      <c r="T297" t="str">
        <f t="shared" ref="T297:T307" si="33">S296</f>
        <v>547/16/G</v>
      </c>
      <c r="U297">
        <v>14</v>
      </c>
      <c r="V297">
        <v>7</v>
      </c>
    </row>
    <row r="298" spans="1:22" x14ac:dyDescent="0.25">
      <c r="A298" t="s">
        <v>467</v>
      </c>
      <c r="B298" t="s">
        <v>207</v>
      </c>
      <c r="C298">
        <v>3163</v>
      </c>
      <c r="D298" t="s">
        <v>479</v>
      </c>
      <c r="E298">
        <v>2.25</v>
      </c>
      <c r="F298">
        <v>3150</v>
      </c>
      <c r="G298" t="s">
        <v>211</v>
      </c>
      <c r="H298">
        <v>248</v>
      </c>
      <c r="I298" t="s">
        <v>11</v>
      </c>
      <c r="J298" s="1">
        <v>42703</v>
      </c>
      <c r="K298">
        <v>72</v>
      </c>
      <c r="L298">
        <v>78</v>
      </c>
      <c r="M298" s="1">
        <v>45070</v>
      </c>
      <c r="N298">
        <f t="shared" si="28"/>
        <v>77.606557377049185</v>
      </c>
      <c r="O298" s="1">
        <f t="shared" si="29"/>
        <v>42703</v>
      </c>
      <c r="P298">
        <v>6</v>
      </c>
      <c r="Q298" s="3">
        <v>13</v>
      </c>
      <c r="R298" s="3">
        <v>7.8</v>
      </c>
      <c r="S298" t="s">
        <v>790</v>
      </c>
      <c r="T298" t="str">
        <f t="shared" si="33"/>
        <v>550/16/G</v>
      </c>
      <c r="U298">
        <v>14</v>
      </c>
      <c r="V298">
        <v>7</v>
      </c>
    </row>
    <row r="299" spans="1:22" x14ac:dyDescent="0.25">
      <c r="A299" t="s">
        <v>467</v>
      </c>
      <c r="B299" t="s">
        <v>207</v>
      </c>
      <c r="C299">
        <v>3163</v>
      </c>
      <c r="D299" t="s">
        <v>479</v>
      </c>
      <c r="E299">
        <v>2.25</v>
      </c>
      <c r="F299">
        <v>3150</v>
      </c>
      <c r="G299" t="s">
        <v>212</v>
      </c>
      <c r="H299">
        <v>248</v>
      </c>
      <c r="I299" t="s">
        <v>11</v>
      </c>
      <c r="J299" s="1">
        <v>42703</v>
      </c>
      <c r="K299">
        <v>72</v>
      </c>
      <c r="L299">
        <v>78</v>
      </c>
      <c r="M299" s="1">
        <v>45070</v>
      </c>
      <c r="N299">
        <f t="shared" si="28"/>
        <v>77.606557377049185</v>
      </c>
      <c r="O299" s="1">
        <f t="shared" si="29"/>
        <v>42703</v>
      </c>
      <c r="P299">
        <v>6</v>
      </c>
      <c r="Q299" s="3">
        <v>13</v>
      </c>
      <c r="R299" s="3">
        <v>7.8</v>
      </c>
      <c r="S299" t="s">
        <v>791</v>
      </c>
      <c r="T299" t="str">
        <f t="shared" si="33"/>
        <v>552/16/G</v>
      </c>
      <c r="U299">
        <v>14</v>
      </c>
      <c r="V299">
        <v>7</v>
      </c>
    </row>
    <row r="300" spans="1:22" x14ac:dyDescent="0.25">
      <c r="A300" t="s">
        <v>467</v>
      </c>
      <c r="B300" t="s">
        <v>207</v>
      </c>
      <c r="C300">
        <v>3163</v>
      </c>
      <c r="D300" t="s">
        <v>479</v>
      </c>
      <c r="E300">
        <v>2.25</v>
      </c>
      <c r="F300">
        <v>3150</v>
      </c>
      <c r="G300" t="s">
        <v>213</v>
      </c>
      <c r="H300">
        <v>246</v>
      </c>
      <c r="I300" t="s">
        <v>11</v>
      </c>
      <c r="J300" s="1">
        <v>42703</v>
      </c>
      <c r="K300">
        <v>72</v>
      </c>
      <c r="L300">
        <v>78</v>
      </c>
      <c r="M300" s="1">
        <v>45070</v>
      </c>
      <c r="N300">
        <f t="shared" si="28"/>
        <v>77.606557377049185</v>
      </c>
      <c r="O300" s="1">
        <f t="shared" si="29"/>
        <v>42703</v>
      </c>
      <c r="P300">
        <v>6</v>
      </c>
      <c r="Q300" s="3">
        <v>13</v>
      </c>
      <c r="R300" s="3">
        <v>7.8</v>
      </c>
      <c r="S300" t="s">
        <v>792</v>
      </c>
      <c r="T300" t="str">
        <f t="shared" si="33"/>
        <v>554/16/G</v>
      </c>
      <c r="U300">
        <v>14</v>
      </c>
      <c r="V300">
        <v>7</v>
      </c>
    </row>
    <row r="301" spans="1:22" x14ac:dyDescent="0.25">
      <c r="A301" t="s">
        <v>467</v>
      </c>
      <c r="B301" t="s">
        <v>207</v>
      </c>
      <c r="C301">
        <v>3163</v>
      </c>
      <c r="D301" t="s">
        <v>479</v>
      </c>
      <c r="E301">
        <v>2.25</v>
      </c>
      <c r="F301">
        <v>3150</v>
      </c>
      <c r="G301" t="s">
        <v>214</v>
      </c>
      <c r="H301">
        <v>188</v>
      </c>
      <c r="I301" t="s">
        <v>11</v>
      </c>
      <c r="J301" s="1">
        <v>42703</v>
      </c>
      <c r="K301">
        <v>72</v>
      </c>
      <c r="L301">
        <v>78</v>
      </c>
      <c r="M301" s="1">
        <v>45070</v>
      </c>
      <c r="N301">
        <f t="shared" si="28"/>
        <v>77.606557377049185</v>
      </c>
      <c r="O301" s="1">
        <f t="shared" si="29"/>
        <v>42703</v>
      </c>
      <c r="P301">
        <v>6</v>
      </c>
      <c r="Q301" s="3">
        <v>13</v>
      </c>
      <c r="R301" s="3">
        <v>7.8</v>
      </c>
      <c r="S301" t="s">
        <v>793</v>
      </c>
      <c r="T301" t="str">
        <f t="shared" si="33"/>
        <v>528/16/G</v>
      </c>
      <c r="U301">
        <v>14</v>
      </c>
      <c r="V301">
        <v>7</v>
      </c>
    </row>
    <row r="302" spans="1:22" x14ac:dyDescent="0.25">
      <c r="A302" t="s">
        <v>467</v>
      </c>
      <c r="B302" t="s">
        <v>207</v>
      </c>
      <c r="C302">
        <v>3163</v>
      </c>
      <c r="D302" t="s">
        <v>479</v>
      </c>
      <c r="E302">
        <v>2.25</v>
      </c>
      <c r="F302">
        <v>3150</v>
      </c>
      <c r="G302" t="s">
        <v>215</v>
      </c>
      <c r="H302">
        <v>248</v>
      </c>
      <c r="I302" t="s">
        <v>11</v>
      </c>
      <c r="J302" s="1">
        <v>42703</v>
      </c>
      <c r="K302">
        <v>72</v>
      </c>
      <c r="L302">
        <v>78</v>
      </c>
      <c r="M302" s="1">
        <v>45070</v>
      </c>
      <c r="N302">
        <f t="shared" si="28"/>
        <v>77.606557377049185</v>
      </c>
      <c r="O302" s="1">
        <f t="shared" si="29"/>
        <v>42703</v>
      </c>
      <c r="P302">
        <v>6</v>
      </c>
      <c r="Q302" s="3">
        <v>13</v>
      </c>
      <c r="R302" s="3">
        <v>7.8</v>
      </c>
      <c r="S302" t="s">
        <v>794</v>
      </c>
      <c r="T302" t="str">
        <f t="shared" si="33"/>
        <v>560/16/G</v>
      </c>
      <c r="U302">
        <v>14</v>
      </c>
      <c r="V302">
        <v>7</v>
      </c>
    </row>
    <row r="303" spans="1:22" x14ac:dyDescent="0.25">
      <c r="A303" t="s">
        <v>467</v>
      </c>
      <c r="B303" t="s">
        <v>207</v>
      </c>
      <c r="C303">
        <v>3163</v>
      </c>
      <c r="D303" t="s">
        <v>479</v>
      </c>
      <c r="E303">
        <v>2.25</v>
      </c>
      <c r="F303">
        <v>3150</v>
      </c>
      <c r="G303" t="s">
        <v>216</v>
      </c>
      <c r="H303">
        <v>248</v>
      </c>
      <c r="I303" t="s">
        <v>11</v>
      </c>
      <c r="J303" s="1">
        <v>42703</v>
      </c>
      <c r="K303">
        <v>72</v>
      </c>
      <c r="L303">
        <v>78</v>
      </c>
      <c r="M303" s="1">
        <v>45070</v>
      </c>
      <c r="N303">
        <f t="shared" si="28"/>
        <v>77.606557377049185</v>
      </c>
      <c r="O303" s="1">
        <f t="shared" si="29"/>
        <v>42703</v>
      </c>
      <c r="P303">
        <v>6</v>
      </c>
      <c r="Q303" s="3">
        <v>13</v>
      </c>
      <c r="R303" s="3">
        <v>7.8</v>
      </c>
      <c r="S303" t="s">
        <v>795</v>
      </c>
      <c r="T303" t="str">
        <f t="shared" si="33"/>
        <v>566/16/G</v>
      </c>
      <c r="U303">
        <v>14</v>
      </c>
      <c r="V303">
        <v>7</v>
      </c>
    </row>
    <row r="304" spans="1:22" x14ac:dyDescent="0.25">
      <c r="A304" t="s">
        <v>467</v>
      </c>
      <c r="B304" t="s">
        <v>207</v>
      </c>
      <c r="C304">
        <v>3163</v>
      </c>
      <c r="D304" t="s">
        <v>479</v>
      </c>
      <c r="E304">
        <v>2.25</v>
      </c>
      <c r="F304">
        <v>3150</v>
      </c>
      <c r="G304" t="s">
        <v>217</v>
      </c>
      <c r="H304">
        <v>247</v>
      </c>
      <c r="I304" t="s">
        <v>11</v>
      </c>
      <c r="J304" s="1">
        <v>42703</v>
      </c>
      <c r="K304">
        <v>72</v>
      </c>
      <c r="L304">
        <v>78</v>
      </c>
      <c r="M304" s="1">
        <v>45070</v>
      </c>
      <c r="N304">
        <f t="shared" si="28"/>
        <v>77.606557377049185</v>
      </c>
      <c r="O304" s="1">
        <f t="shared" si="29"/>
        <v>42703</v>
      </c>
      <c r="P304">
        <v>6</v>
      </c>
      <c r="Q304" s="3">
        <v>13</v>
      </c>
      <c r="R304" s="3">
        <v>7.8</v>
      </c>
      <c r="S304" t="s">
        <v>796</v>
      </c>
      <c r="T304" t="str">
        <f t="shared" si="33"/>
        <v>569/16/G</v>
      </c>
      <c r="U304">
        <v>14</v>
      </c>
      <c r="V304">
        <v>7</v>
      </c>
    </row>
    <row r="305" spans="1:22" x14ac:dyDescent="0.25">
      <c r="A305" t="s">
        <v>467</v>
      </c>
      <c r="B305" t="s">
        <v>207</v>
      </c>
      <c r="C305">
        <v>3163</v>
      </c>
      <c r="D305" t="s">
        <v>479</v>
      </c>
      <c r="E305">
        <v>2.25</v>
      </c>
      <c r="F305">
        <v>3150</v>
      </c>
      <c r="G305" t="s">
        <v>218</v>
      </c>
      <c r="H305">
        <v>247</v>
      </c>
      <c r="I305" t="s">
        <v>11</v>
      </c>
      <c r="J305" s="1">
        <v>42703</v>
      </c>
      <c r="K305">
        <v>72</v>
      </c>
      <c r="L305">
        <v>78</v>
      </c>
      <c r="M305" s="1">
        <v>45070</v>
      </c>
      <c r="N305">
        <f t="shared" si="28"/>
        <v>77.606557377049185</v>
      </c>
      <c r="O305" s="1">
        <f t="shared" si="29"/>
        <v>42703</v>
      </c>
      <c r="P305">
        <v>6</v>
      </c>
      <c r="Q305" s="3">
        <v>13</v>
      </c>
      <c r="R305" s="3">
        <v>7.8</v>
      </c>
      <c r="S305" t="s">
        <v>797</v>
      </c>
      <c r="T305" t="str">
        <f t="shared" si="33"/>
        <v>626/16/G</v>
      </c>
      <c r="U305">
        <v>14</v>
      </c>
      <c r="V305">
        <v>7</v>
      </c>
    </row>
    <row r="306" spans="1:22" x14ac:dyDescent="0.25">
      <c r="A306" t="s">
        <v>467</v>
      </c>
      <c r="B306" t="s">
        <v>207</v>
      </c>
      <c r="C306">
        <v>3163</v>
      </c>
      <c r="D306" t="s">
        <v>479</v>
      </c>
      <c r="E306">
        <v>2.25</v>
      </c>
      <c r="F306">
        <v>3150</v>
      </c>
      <c r="G306" t="s">
        <v>219</v>
      </c>
      <c r="H306">
        <v>248</v>
      </c>
      <c r="I306" t="s">
        <v>11</v>
      </c>
      <c r="J306" s="1">
        <v>42703</v>
      </c>
      <c r="K306">
        <v>72</v>
      </c>
      <c r="L306">
        <v>78</v>
      </c>
      <c r="M306" s="1">
        <v>45070</v>
      </c>
      <c r="N306">
        <f t="shared" si="28"/>
        <v>77.606557377049185</v>
      </c>
      <c r="O306" s="1">
        <f t="shared" si="29"/>
        <v>42703</v>
      </c>
      <c r="P306">
        <v>6</v>
      </c>
      <c r="Q306" s="3">
        <v>13</v>
      </c>
      <c r="R306" s="3">
        <v>7.8</v>
      </c>
      <c r="S306" t="s">
        <v>798</v>
      </c>
      <c r="T306" t="str">
        <f t="shared" si="33"/>
        <v>553/16/G</v>
      </c>
      <c r="U306">
        <v>14</v>
      </c>
      <c r="V306">
        <v>7</v>
      </c>
    </row>
    <row r="307" spans="1:22" x14ac:dyDescent="0.25">
      <c r="A307" t="s">
        <v>467</v>
      </c>
      <c r="B307" t="s">
        <v>207</v>
      </c>
      <c r="C307">
        <v>3163</v>
      </c>
      <c r="D307" t="s">
        <v>479</v>
      </c>
      <c r="E307">
        <v>2.25</v>
      </c>
      <c r="F307">
        <v>3150</v>
      </c>
      <c r="G307" t="s">
        <v>220</v>
      </c>
      <c r="H307">
        <v>248</v>
      </c>
      <c r="I307" t="s">
        <v>11</v>
      </c>
      <c r="J307" s="1">
        <v>42703</v>
      </c>
      <c r="K307">
        <v>72</v>
      </c>
      <c r="L307">
        <v>78</v>
      </c>
      <c r="M307" s="1">
        <v>45070</v>
      </c>
      <c r="N307">
        <f t="shared" si="28"/>
        <v>77.606557377049185</v>
      </c>
      <c r="O307" s="1">
        <f t="shared" si="29"/>
        <v>42703</v>
      </c>
      <c r="P307">
        <v>6</v>
      </c>
      <c r="Q307" s="3">
        <v>13</v>
      </c>
      <c r="R307" s="3">
        <v>7.8</v>
      </c>
      <c r="S307" t="s">
        <v>799</v>
      </c>
      <c r="T307" t="str">
        <f t="shared" si="33"/>
        <v>549/16/G</v>
      </c>
      <c r="U307">
        <v>14</v>
      </c>
      <c r="V307">
        <v>7</v>
      </c>
    </row>
    <row r="308" spans="1:22" x14ac:dyDescent="0.25">
      <c r="A308" t="s">
        <v>467</v>
      </c>
      <c r="B308" t="s">
        <v>321</v>
      </c>
      <c r="C308">
        <v>3524</v>
      </c>
      <c r="D308" t="s">
        <v>479</v>
      </c>
      <c r="E308">
        <v>2.25</v>
      </c>
      <c r="F308">
        <v>3150</v>
      </c>
      <c r="G308" t="s">
        <v>322</v>
      </c>
      <c r="H308">
        <v>248</v>
      </c>
      <c r="I308" t="s">
        <v>11</v>
      </c>
      <c r="J308" s="1">
        <v>42356</v>
      </c>
      <c r="K308">
        <v>72</v>
      </c>
      <c r="L308">
        <v>56</v>
      </c>
      <c r="M308" s="1">
        <v>44057</v>
      </c>
      <c r="N308">
        <f t="shared" si="28"/>
        <v>55.770491803278688</v>
      </c>
      <c r="O308" s="1">
        <f t="shared" si="29"/>
        <v>42356</v>
      </c>
      <c r="P308">
        <v>6</v>
      </c>
      <c r="Q308" s="3">
        <v>18</v>
      </c>
      <c r="R308" s="3">
        <v>7.8</v>
      </c>
      <c r="S308" t="s">
        <v>800</v>
      </c>
      <c r="T308" t="str">
        <f>S325</f>
        <v>623/15/G</v>
      </c>
      <c r="U308">
        <v>14</v>
      </c>
      <c r="V308">
        <v>7</v>
      </c>
    </row>
    <row r="309" spans="1:22" x14ac:dyDescent="0.25">
      <c r="A309" t="s">
        <v>467</v>
      </c>
      <c r="B309" t="s">
        <v>321</v>
      </c>
      <c r="C309">
        <v>3524</v>
      </c>
      <c r="D309" t="s">
        <v>479</v>
      </c>
      <c r="E309">
        <v>2.25</v>
      </c>
      <c r="F309">
        <v>3150</v>
      </c>
      <c r="G309" t="s">
        <v>181</v>
      </c>
      <c r="H309">
        <v>233</v>
      </c>
      <c r="I309" t="s">
        <v>11</v>
      </c>
      <c r="J309" s="1">
        <v>42356</v>
      </c>
      <c r="K309">
        <v>72</v>
      </c>
      <c r="L309">
        <v>56</v>
      </c>
      <c r="M309" s="1">
        <v>44057</v>
      </c>
      <c r="N309">
        <f t="shared" si="28"/>
        <v>55.770491803278688</v>
      </c>
      <c r="O309" s="1">
        <f t="shared" si="29"/>
        <v>42356</v>
      </c>
      <c r="P309">
        <v>6</v>
      </c>
      <c r="Q309" s="3">
        <v>18</v>
      </c>
      <c r="R309" s="3">
        <v>7.8</v>
      </c>
      <c r="S309" t="s">
        <v>801</v>
      </c>
      <c r="T309" t="str">
        <f>S308</f>
        <v>664/15/G</v>
      </c>
      <c r="U309">
        <v>14</v>
      </c>
      <c r="V309">
        <v>7</v>
      </c>
    </row>
    <row r="310" spans="1:22" x14ac:dyDescent="0.25">
      <c r="A310" t="s">
        <v>467</v>
      </c>
      <c r="B310" t="s">
        <v>321</v>
      </c>
      <c r="C310">
        <v>3524</v>
      </c>
      <c r="D310" t="s">
        <v>479</v>
      </c>
      <c r="E310">
        <v>2.25</v>
      </c>
      <c r="F310">
        <v>3150</v>
      </c>
      <c r="G310" t="s">
        <v>323</v>
      </c>
      <c r="H310">
        <v>247</v>
      </c>
      <c r="I310" t="s">
        <v>11</v>
      </c>
      <c r="J310" s="1">
        <v>42356</v>
      </c>
      <c r="K310">
        <v>72</v>
      </c>
      <c r="L310">
        <v>56</v>
      </c>
      <c r="M310" s="1">
        <v>44057</v>
      </c>
      <c r="N310">
        <f t="shared" si="28"/>
        <v>55.770491803278688</v>
      </c>
      <c r="O310" s="1">
        <f t="shared" si="29"/>
        <v>42356</v>
      </c>
      <c r="P310">
        <v>6</v>
      </c>
      <c r="Q310" s="3">
        <v>18</v>
      </c>
      <c r="R310" s="3">
        <v>7.8</v>
      </c>
      <c r="S310" t="s">
        <v>802</v>
      </c>
      <c r="T310" t="str">
        <f t="shared" ref="T310:T325" si="34">S309</f>
        <v>647/15/G</v>
      </c>
      <c r="U310">
        <v>14</v>
      </c>
      <c r="V310">
        <v>7</v>
      </c>
    </row>
    <row r="311" spans="1:22" x14ac:dyDescent="0.25">
      <c r="A311" t="s">
        <v>467</v>
      </c>
      <c r="B311" t="s">
        <v>321</v>
      </c>
      <c r="C311">
        <v>3524</v>
      </c>
      <c r="D311" t="s">
        <v>479</v>
      </c>
      <c r="E311">
        <v>2.25</v>
      </c>
      <c r="F311">
        <v>3150</v>
      </c>
      <c r="G311" t="s">
        <v>324</v>
      </c>
      <c r="H311">
        <v>10</v>
      </c>
      <c r="I311" t="s">
        <v>11</v>
      </c>
      <c r="J311" s="1">
        <v>43850</v>
      </c>
      <c r="K311">
        <v>72</v>
      </c>
      <c r="L311">
        <v>46</v>
      </c>
      <c r="M311" s="1">
        <v>44057</v>
      </c>
      <c r="N311">
        <f t="shared" si="28"/>
        <v>6.7868852459016393</v>
      </c>
      <c r="O311" s="1">
        <f t="shared" si="29"/>
        <v>42654</v>
      </c>
      <c r="P311">
        <v>6</v>
      </c>
      <c r="Q311" s="3">
        <v>18</v>
      </c>
      <c r="R311" s="3">
        <v>7.8</v>
      </c>
      <c r="S311" t="s">
        <v>803</v>
      </c>
      <c r="T311" t="str">
        <f t="shared" si="34"/>
        <v>30/20/G</v>
      </c>
      <c r="U311">
        <v>14</v>
      </c>
      <c r="V311">
        <v>7</v>
      </c>
    </row>
    <row r="312" spans="1:22" x14ac:dyDescent="0.25">
      <c r="A312" t="s">
        <v>467</v>
      </c>
      <c r="B312" t="s">
        <v>321</v>
      </c>
      <c r="C312">
        <v>3524</v>
      </c>
      <c r="D312" t="s">
        <v>479</v>
      </c>
      <c r="E312">
        <v>2.25</v>
      </c>
      <c r="F312">
        <v>3150</v>
      </c>
      <c r="G312" t="s">
        <v>325</v>
      </c>
      <c r="H312">
        <v>56</v>
      </c>
      <c r="I312" t="s">
        <v>11</v>
      </c>
      <c r="J312" s="1">
        <v>42356</v>
      </c>
      <c r="K312">
        <v>72</v>
      </c>
      <c r="L312">
        <v>56</v>
      </c>
      <c r="M312" s="1">
        <v>44057</v>
      </c>
      <c r="N312">
        <f t="shared" si="28"/>
        <v>55.770491803278688</v>
      </c>
      <c r="O312" s="1">
        <f t="shared" si="29"/>
        <v>42356</v>
      </c>
      <c r="P312">
        <v>6</v>
      </c>
      <c r="Q312" s="3">
        <v>18</v>
      </c>
      <c r="R312" s="3">
        <v>7.8</v>
      </c>
      <c r="S312" t="s">
        <v>696</v>
      </c>
      <c r="T312" t="str">
        <f t="shared" si="34"/>
        <v>31/20/G</v>
      </c>
      <c r="U312">
        <v>14</v>
      </c>
      <c r="V312">
        <v>7</v>
      </c>
    </row>
    <row r="313" spans="1:22" x14ac:dyDescent="0.25">
      <c r="A313" t="s">
        <v>467</v>
      </c>
      <c r="B313" t="s">
        <v>321</v>
      </c>
      <c r="C313">
        <v>3524</v>
      </c>
      <c r="D313" t="s">
        <v>479</v>
      </c>
      <c r="E313">
        <v>2.25</v>
      </c>
      <c r="F313">
        <v>3150</v>
      </c>
      <c r="G313" t="s">
        <v>326</v>
      </c>
      <c r="H313">
        <v>190</v>
      </c>
      <c r="I313" t="s">
        <v>11</v>
      </c>
      <c r="J313" s="1">
        <v>42356</v>
      </c>
      <c r="K313">
        <v>72</v>
      </c>
      <c r="L313">
        <v>56</v>
      </c>
      <c r="M313" s="1">
        <v>44057</v>
      </c>
      <c r="N313">
        <f t="shared" si="28"/>
        <v>55.770491803278688</v>
      </c>
      <c r="O313" s="1">
        <f t="shared" si="29"/>
        <v>42356</v>
      </c>
      <c r="P313">
        <v>6</v>
      </c>
      <c r="Q313" s="3">
        <v>18</v>
      </c>
      <c r="R313" s="3">
        <v>7.8</v>
      </c>
      <c r="S313" t="s">
        <v>804</v>
      </c>
      <c r="T313" t="str">
        <f t="shared" si="34"/>
        <v>292/18/G</v>
      </c>
      <c r="U313">
        <v>14</v>
      </c>
      <c r="V313">
        <v>7</v>
      </c>
    </row>
    <row r="314" spans="1:22" x14ac:dyDescent="0.25">
      <c r="A314" t="s">
        <v>467</v>
      </c>
      <c r="B314" t="s">
        <v>321</v>
      </c>
      <c r="C314">
        <v>3524</v>
      </c>
      <c r="D314" t="s">
        <v>479</v>
      </c>
      <c r="E314">
        <v>2.25</v>
      </c>
      <c r="F314">
        <v>3150</v>
      </c>
      <c r="G314" t="s">
        <v>327</v>
      </c>
      <c r="H314">
        <v>248</v>
      </c>
      <c r="I314" t="s">
        <v>11</v>
      </c>
      <c r="J314" s="1">
        <v>42356</v>
      </c>
      <c r="K314">
        <v>72</v>
      </c>
      <c r="L314">
        <v>56</v>
      </c>
      <c r="M314" s="1">
        <v>44057</v>
      </c>
      <c r="N314">
        <f t="shared" si="28"/>
        <v>55.770491803278688</v>
      </c>
      <c r="O314" s="1">
        <f t="shared" si="29"/>
        <v>42356</v>
      </c>
      <c r="P314">
        <v>6</v>
      </c>
      <c r="Q314" s="3">
        <v>18</v>
      </c>
      <c r="R314" s="3">
        <v>7.8</v>
      </c>
      <c r="S314" t="s">
        <v>805</v>
      </c>
      <c r="T314" t="str">
        <f t="shared" si="34"/>
        <v>156/20/G</v>
      </c>
      <c r="U314">
        <v>14</v>
      </c>
      <c r="V314">
        <v>7</v>
      </c>
    </row>
    <row r="315" spans="1:22" x14ac:dyDescent="0.25">
      <c r="A315" t="s">
        <v>467</v>
      </c>
      <c r="B315" t="s">
        <v>321</v>
      </c>
      <c r="C315">
        <v>3524</v>
      </c>
      <c r="D315" t="s">
        <v>479</v>
      </c>
      <c r="E315">
        <v>2.25</v>
      </c>
      <c r="F315">
        <v>3150</v>
      </c>
      <c r="G315" t="s">
        <v>328</v>
      </c>
      <c r="H315">
        <v>248</v>
      </c>
      <c r="I315" t="s">
        <v>11</v>
      </c>
      <c r="J315" s="1">
        <v>42356</v>
      </c>
      <c r="K315">
        <v>72</v>
      </c>
      <c r="L315">
        <v>56</v>
      </c>
      <c r="M315" s="1">
        <v>44057</v>
      </c>
      <c r="N315">
        <f t="shared" si="28"/>
        <v>55.770491803278688</v>
      </c>
      <c r="O315" s="1">
        <f t="shared" si="29"/>
        <v>42356</v>
      </c>
      <c r="P315">
        <v>6</v>
      </c>
      <c r="Q315" s="3">
        <v>18</v>
      </c>
      <c r="R315" s="3">
        <v>7.8</v>
      </c>
      <c r="S315" t="s">
        <v>806</v>
      </c>
      <c r="T315" t="str">
        <f t="shared" si="34"/>
        <v>622/15/G</v>
      </c>
      <c r="U315">
        <v>14</v>
      </c>
      <c r="V315">
        <v>7</v>
      </c>
    </row>
    <row r="316" spans="1:22" x14ac:dyDescent="0.25">
      <c r="A316" t="s">
        <v>467</v>
      </c>
      <c r="B316" t="s">
        <v>321</v>
      </c>
      <c r="C316">
        <v>3524</v>
      </c>
      <c r="D316" t="s">
        <v>479</v>
      </c>
      <c r="E316">
        <v>2.25</v>
      </c>
      <c r="F316">
        <v>3150</v>
      </c>
      <c r="G316" t="s">
        <v>329</v>
      </c>
      <c r="H316">
        <v>249</v>
      </c>
      <c r="I316" t="s">
        <v>11</v>
      </c>
      <c r="J316" s="1">
        <v>42356</v>
      </c>
      <c r="K316">
        <v>72</v>
      </c>
      <c r="L316">
        <v>56</v>
      </c>
      <c r="M316" s="1">
        <v>44057</v>
      </c>
      <c r="N316">
        <f t="shared" si="28"/>
        <v>55.770491803278688</v>
      </c>
      <c r="O316" s="1">
        <f t="shared" si="29"/>
        <v>42356</v>
      </c>
      <c r="P316">
        <v>6</v>
      </c>
      <c r="Q316" s="3">
        <v>18</v>
      </c>
      <c r="R316" s="3">
        <v>7.8</v>
      </c>
      <c r="S316" t="s">
        <v>807</v>
      </c>
      <c r="T316" t="str">
        <f t="shared" si="34"/>
        <v>662/15/G</v>
      </c>
      <c r="U316">
        <v>14</v>
      </c>
      <c r="V316">
        <v>7</v>
      </c>
    </row>
    <row r="317" spans="1:22" x14ac:dyDescent="0.25">
      <c r="A317" t="s">
        <v>467</v>
      </c>
      <c r="B317" t="s">
        <v>321</v>
      </c>
      <c r="C317">
        <v>3524</v>
      </c>
      <c r="D317" t="s">
        <v>479</v>
      </c>
      <c r="E317">
        <v>2.25</v>
      </c>
      <c r="F317">
        <v>3150</v>
      </c>
      <c r="G317" t="s">
        <v>330</v>
      </c>
      <c r="H317">
        <v>248</v>
      </c>
      <c r="I317" t="s">
        <v>11</v>
      </c>
      <c r="J317" s="1">
        <v>42356</v>
      </c>
      <c r="K317">
        <v>72</v>
      </c>
      <c r="L317">
        <v>56</v>
      </c>
      <c r="M317" s="1">
        <v>44057</v>
      </c>
      <c r="N317">
        <f t="shared" si="28"/>
        <v>55.770491803278688</v>
      </c>
      <c r="O317" s="1">
        <f t="shared" si="29"/>
        <v>42356</v>
      </c>
      <c r="P317">
        <v>6</v>
      </c>
      <c r="Q317" s="3">
        <v>18</v>
      </c>
      <c r="R317" s="3">
        <v>7.8</v>
      </c>
      <c r="S317" t="s">
        <v>808</v>
      </c>
      <c r="T317" t="str">
        <f t="shared" si="34"/>
        <v>620/15/G</v>
      </c>
      <c r="U317">
        <v>14</v>
      </c>
      <c r="V317">
        <v>7</v>
      </c>
    </row>
    <row r="318" spans="1:22" x14ac:dyDescent="0.25">
      <c r="A318" t="s">
        <v>467</v>
      </c>
      <c r="B318" t="s">
        <v>321</v>
      </c>
      <c r="C318">
        <v>3524</v>
      </c>
      <c r="D318" t="s">
        <v>479</v>
      </c>
      <c r="E318">
        <v>2.25</v>
      </c>
      <c r="F318">
        <v>3150</v>
      </c>
      <c r="G318" t="s">
        <v>331</v>
      </c>
      <c r="H318">
        <v>247</v>
      </c>
      <c r="I318" t="s">
        <v>11</v>
      </c>
      <c r="J318" s="1">
        <v>42356</v>
      </c>
      <c r="K318">
        <v>72</v>
      </c>
      <c r="L318">
        <v>56</v>
      </c>
      <c r="M318" s="1">
        <v>44057</v>
      </c>
      <c r="N318">
        <f t="shared" ref="N318:N381" si="35">(M318-J318)/30.5</f>
        <v>55.770491803278688</v>
      </c>
      <c r="O318" s="1">
        <f t="shared" ref="O318:O381" si="36">IF(ABS(L318-N318)&lt;1, J318, M318-L318*30.5)</f>
        <v>42356</v>
      </c>
      <c r="P318">
        <v>6</v>
      </c>
      <c r="Q318" s="3">
        <v>18</v>
      </c>
      <c r="R318" s="3">
        <v>7.8</v>
      </c>
      <c r="S318" t="s">
        <v>809</v>
      </c>
      <c r="T318" t="str">
        <f t="shared" si="34"/>
        <v>626/15/G</v>
      </c>
      <c r="U318">
        <v>14</v>
      </c>
      <c r="V318">
        <v>7</v>
      </c>
    </row>
    <row r="319" spans="1:22" x14ac:dyDescent="0.25">
      <c r="A319" t="s">
        <v>467</v>
      </c>
      <c r="B319" t="s">
        <v>321</v>
      </c>
      <c r="C319">
        <v>3524</v>
      </c>
      <c r="D319" t="s">
        <v>479</v>
      </c>
      <c r="E319">
        <v>2.25</v>
      </c>
      <c r="F319">
        <v>3150</v>
      </c>
      <c r="G319" t="s">
        <v>332</v>
      </c>
      <c r="H319">
        <v>247</v>
      </c>
      <c r="I319" t="s">
        <v>11</v>
      </c>
      <c r="J319" s="1">
        <v>42356</v>
      </c>
      <c r="K319">
        <v>72</v>
      </c>
      <c r="L319">
        <v>56</v>
      </c>
      <c r="M319" s="1">
        <v>44057</v>
      </c>
      <c r="N319">
        <f t="shared" si="35"/>
        <v>55.770491803278688</v>
      </c>
      <c r="O319" s="1">
        <f t="shared" si="36"/>
        <v>42356</v>
      </c>
      <c r="P319">
        <v>6</v>
      </c>
      <c r="Q319" s="3">
        <v>18</v>
      </c>
      <c r="R319" s="3">
        <v>7.8</v>
      </c>
      <c r="S319" t="s">
        <v>810</v>
      </c>
      <c r="T319" t="str">
        <f t="shared" si="34"/>
        <v>380/20/G</v>
      </c>
      <c r="U319">
        <v>14</v>
      </c>
      <c r="V319">
        <v>7</v>
      </c>
    </row>
    <row r="320" spans="1:22" x14ac:dyDescent="0.25">
      <c r="A320" t="s">
        <v>467</v>
      </c>
      <c r="B320" t="s">
        <v>321</v>
      </c>
      <c r="C320">
        <v>3524</v>
      </c>
      <c r="D320" t="s">
        <v>479</v>
      </c>
      <c r="E320">
        <v>2.25</v>
      </c>
      <c r="F320">
        <v>3150</v>
      </c>
      <c r="G320" t="s">
        <v>333</v>
      </c>
      <c r="H320">
        <v>247</v>
      </c>
      <c r="I320" t="s">
        <v>11</v>
      </c>
      <c r="J320" s="1">
        <v>42356</v>
      </c>
      <c r="K320">
        <v>72</v>
      </c>
      <c r="L320">
        <v>56</v>
      </c>
      <c r="M320" s="1">
        <v>44057</v>
      </c>
      <c r="N320">
        <f t="shared" si="35"/>
        <v>55.770491803278688</v>
      </c>
      <c r="O320" s="1">
        <f t="shared" si="36"/>
        <v>42356</v>
      </c>
      <c r="P320">
        <v>6</v>
      </c>
      <c r="Q320" s="3">
        <v>18</v>
      </c>
      <c r="R320" s="3">
        <v>7.8</v>
      </c>
      <c r="S320" t="s">
        <v>811</v>
      </c>
      <c r="T320" t="str">
        <f t="shared" si="34"/>
        <v>648/15/G</v>
      </c>
      <c r="U320">
        <v>14</v>
      </c>
      <c r="V320">
        <v>7</v>
      </c>
    </row>
    <row r="321" spans="1:22" x14ac:dyDescent="0.25">
      <c r="A321" t="s">
        <v>467</v>
      </c>
      <c r="B321" t="s">
        <v>321</v>
      </c>
      <c r="C321">
        <v>3524</v>
      </c>
      <c r="D321" t="s">
        <v>479</v>
      </c>
      <c r="E321">
        <v>2.25</v>
      </c>
      <c r="F321">
        <v>3150</v>
      </c>
      <c r="G321" t="s">
        <v>334</v>
      </c>
      <c r="H321">
        <v>44</v>
      </c>
      <c r="I321" t="s">
        <v>11</v>
      </c>
      <c r="J321" s="1">
        <v>42356</v>
      </c>
      <c r="K321">
        <v>72</v>
      </c>
      <c r="L321">
        <v>56</v>
      </c>
      <c r="M321" s="1">
        <v>44057</v>
      </c>
      <c r="N321">
        <f t="shared" si="35"/>
        <v>55.770491803278688</v>
      </c>
      <c r="O321" s="1">
        <f t="shared" si="36"/>
        <v>42356</v>
      </c>
      <c r="P321">
        <v>6</v>
      </c>
      <c r="Q321" s="3">
        <v>18</v>
      </c>
      <c r="R321" s="3">
        <v>7.8</v>
      </c>
      <c r="S321" t="s">
        <v>812</v>
      </c>
      <c r="T321" t="str">
        <f t="shared" si="34"/>
        <v>656/15/G</v>
      </c>
      <c r="U321">
        <v>14</v>
      </c>
      <c r="V321">
        <v>7</v>
      </c>
    </row>
    <row r="322" spans="1:22" x14ac:dyDescent="0.25">
      <c r="A322" t="s">
        <v>467</v>
      </c>
      <c r="B322" t="s">
        <v>321</v>
      </c>
      <c r="C322">
        <v>3524</v>
      </c>
      <c r="D322" t="s">
        <v>479</v>
      </c>
      <c r="E322">
        <v>2.25</v>
      </c>
      <c r="F322">
        <v>3150</v>
      </c>
      <c r="G322" t="s">
        <v>335</v>
      </c>
      <c r="H322">
        <v>15</v>
      </c>
      <c r="I322" t="s">
        <v>11</v>
      </c>
      <c r="J322" s="1">
        <v>42356</v>
      </c>
      <c r="K322">
        <v>72</v>
      </c>
      <c r="L322">
        <v>56</v>
      </c>
      <c r="M322" s="1">
        <v>44057</v>
      </c>
      <c r="N322">
        <f t="shared" si="35"/>
        <v>55.770491803278688</v>
      </c>
      <c r="O322" s="1">
        <f t="shared" si="36"/>
        <v>42356</v>
      </c>
      <c r="P322">
        <v>6</v>
      </c>
      <c r="Q322" s="3">
        <v>18</v>
      </c>
      <c r="R322" s="3">
        <v>7.8</v>
      </c>
      <c r="S322" t="s">
        <v>813</v>
      </c>
      <c r="T322" t="str">
        <f t="shared" si="34"/>
        <v>114/18/G</v>
      </c>
      <c r="U322">
        <v>14</v>
      </c>
      <c r="V322">
        <v>7</v>
      </c>
    </row>
    <row r="323" spans="1:22" x14ac:dyDescent="0.25">
      <c r="A323" t="s">
        <v>467</v>
      </c>
      <c r="B323" t="s">
        <v>321</v>
      </c>
      <c r="C323">
        <v>3524</v>
      </c>
      <c r="D323" t="s">
        <v>479</v>
      </c>
      <c r="E323">
        <v>2.25</v>
      </c>
      <c r="F323">
        <v>3150</v>
      </c>
      <c r="G323" t="s">
        <v>336</v>
      </c>
      <c r="H323">
        <v>248</v>
      </c>
      <c r="I323" t="s">
        <v>11</v>
      </c>
      <c r="J323" s="1">
        <v>43850</v>
      </c>
      <c r="K323">
        <v>72</v>
      </c>
      <c r="L323">
        <v>7</v>
      </c>
      <c r="M323" s="1">
        <v>44057</v>
      </c>
      <c r="N323">
        <f t="shared" si="35"/>
        <v>6.7868852459016393</v>
      </c>
      <c r="O323" s="1">
        <f t="shared" si="36"/>
        <v>43850</v>
      </c>
      <c r="P323">
        <v>6</v>
      </c>
      <c r="Q323" s="3">
        <v>18</v>
      </c>
      <c r="R323" s="3">
        <v>7.8</v>
      </c>
      <c r="S323" t="s">
        <v>814</v>
      </c>
      <c r="T323" t="str">
        <f t="shared" si="34"/>
        <v>20/20/G</v>
      </c>
      <c r="U323">
        <v>14</v>
      </c>
      <c r="V323">
        <v>7</v>
      </c>
    </row>
    <row r="324" spans="1:22" x14ac:dyDescent="0.25">
      <c r="A324" t="s">
        <v>467</v>
      </c>
      <c r="B324" t="s">
        <v>321</v>
      </c>
      <c r="C324">
        <v>3524</v>
      </c>
      <c r="D324" t="s">
        <v>479</v>
      </c>
      <c r="E324">
        <v>2.25</v>
      </c>
      <c r="F324">
        <v>3150</v>
      </c>
      <c r="G324" t="s">
        <v>337</v>
      </c>
      <c r="H324">
        <v>249</v>
      </c>
      <c r="I324" t="s">
        <v>11</v>
      </c>
      <c r="J324" s="1">
        <v>43850</v>
      </c>
      <c r="K324">
        <v>72</v>
      </c>
      <c r="L324">
        <v>7</v>
      </c>
      <c r="M324" s="1">
        <v>44057</v>
      </c>
      <c r="N324">
        <f t="shared" si="35"/>
        <v>6.7868852459016393</v>
      </c>
      <c r="O324" s="1">
        <f t="shared" si="36"/>
        <v>43850</v>
      </c>
      <c r="P324">
        <v>6</v>
      </c>
      <c r="Q324" s="3">
        <v>18</v>
      </c>
      <c r="R324" s="3">
        <v>7.8</v>
      </c>
      <c r="S324" t="s">
        <v>815</v>
      </c>
      <c r="T324" t="str">
        <f t="shared" si="34"/>
        <v>21/20/G</v>
      </c>
      <c r="U324">
        <v>14</v>
      </c>
      <c r="V324">
        <v>7</v>
      </c>
    </row>
    <row r="325" spans="1:22" x14ac:dyDescent="0.25">
      <c r="A325" t="s">
        <v>467</v>
      </c>
      <c r="B325" t="s">
        <v>321</v>
      </c>
      <c r="C325">
        <v>3524</v>
      </c>
      <c r="D325" t="s">
        <v>479</v>
      </c>
      <c r="E325">
        <v>2.25</v>
      </c>
      <c r="F325">
        <v>3150</v>
      </c>
      <c r="G325" t="s">
        <v>338</v>
      </c>
      <c r="H325">
        <v>250</v>
      </c>
      <c r="I325" t="s">
        <v>11</v>
      </c>
      <c r="J325" s="1">
        <v>42356</v>
      </c>
      <c r="K325">
        <v>72</v>
      </c>
      <c r="L325">
        <v>56</v>
      </c>
      <c r="M325" s="1">
        <v>44057</v>
      </c>
      <c r="N325">
        <f t="shared" si="35"/>
        <v>55.770491803278688</v>
      </c>
      <c r="O325" s="1">
        <f t="shared" si="36"/>
        <v>42356</v>
      </c>
      <c r="P325">
        <v>6</v>
      </c>
      <c r="Q325" s="3">
        <v>18</v>
      </c>
      <c r="R325" s="3">
        <v>7.8</v>
      </c>
      <c r="S325" t="s">
        <v>816</v>
      </c>
      <c r="T325" t="str">
        <f t="shared" si="34"/>
        <v>24/20/G</v>
      </c>
      <c r="U325">
        <v>14</v>
      </c>
      <c r="V325">
        <v>7</v>
      </c>
    </row>
    <row r="326" spans="1:22" x14ac:dyDescent="0.25">
      <c r="A326" t="s">
        <v>467</v>
      </c>
      <c r="B326" t="s">
        <v>221</v>
      </c>
      <c r="C326">
        <v>3437</v>
      </c>
      <c r="D326" t="s">
        <v>478</v>
      </c>
      <c r="E326">
        <v>1.8</v>
      </c>
      <c r="F326">
        <v>3150</v>
      </c>
      <c r="G326" t="s">
        <v>222</v>
      </c>
      <c r="H326">
        <v>248</v>
      </c>
      <c r="I326" t="s">
        <v>11</v>
      </c>
      <c r="J326" s="1">
        <v>40410</v>
      </c>
      <c r="K326">
        <v>180</v>
      </c>
      <c r="L326">
        <v>151</v>
      </c>
      <c r="M326" s="1">
        <v>44998</v>
      </c>
      <c r="N326">
        <f t="shared" si="35"/>
        <v>150.42622950819671</v>
      </c>
      <c r="O326" s="1">
        <f t="shared" si="36"/>
        <v>40410</v>
      </c>
      <c r="P326">
        <v>6</v>
      </c>
      <c r="Q326" s="3">
        <v>15</v>
      </c>
      <c r="R326" s="3">
        <v>7.8</v>
      </c>
      <c r="S326" t="s">
        <v>817</v>
      </c>
      <c r="T326" t="str">
        <f>S340</f>
        <v>379/10/G</v>
      </c>
      <c r="U326">
        <v>14</v>
      </c>
      <c r="V326">
        <v>7</v>
      </c>
    </row>
    <row r="327" spans="1:22" x14ac:dyDescent="0.25">
      <c r="A327" t="s">
        <v>467</v>
      </c>
      <c r="B327" t="s">
        <v>221</v>
      </c>
      <c r="C327">
        <v>3437</v>
      </c>
      <c r="D327" t="s">
        <v>478</v>
      </c>
      <c r="E327">
        <v>1.8</v>
      </c>
      <c r="F327">
        <v>3150</v>
      </c>
      <c r="G327" t="s">
        <v>223</v>
      </c>
      <c r="H327">
        <v>248</v>
      </c>
      <c r="I327" t="s">
        <v>11</v>
      </c>
      <c r="J327" s="1">
        <v>40410</v>
      </c>
      <c r="K327">
        <v>180</v>
      </c>
      <c r="L327">
        <v>151</v>
      </c>
      <c r="M327" s="1">
        <v>44998</v>
      </c>
      <c r="N327">
        <f t="shared" si="35"/>
        <v>150.42622950819671</v>
      </c>
      <c r="O327" s="1">
        <f t="shared" si="36"/>
        <v>40410</v>
      </c>
      <c r="P327">
        <v>6</v>
      </c>
      <c r="Q327" s="3">
        <v>15</v>
      </c>
      <c r="R327" s="3">
        <v>7.8</v>
      </c>
      <c r="S327" t="s">
        <v>818</v>
      </c>
      <c r="T327" t="str">
        <f>S326</f>
        <v>363/10/G</v>
      </c>
      <c r="U327">
        <v>14</v>
      </c>
      <c r="V327">
        <v>7</v>
      </c>
    </row>
    <row r="328" spans="1:22" x14ac:dyDescent="0.25">
      <c r="A328" t="s">
        <v>467</v>
      </c>
      <c r="B328" t="s">
        <v>221</v>
      </c>
      <c r="C328">
        <v>3437</v>
      </c>
      <c r="D328" t="s">
        <v>478</v>
      </c>
      <c r="E328">
        <v>1.8</v>
      </c>
      <c r="F328">
        <v>3150</v>
      </c>
      <c r="G328" t="s">
        <v>224</v>
      </c>
      <c r="H328">
        <v>248</v>
      </c>
      <c r="I328" t="s">
        <v>11</v>
      </c>
      <c r="J328" s="1">
        <v>40410</v>
      </c>
      <c r="K328">
        <v>180</v>
      </c>
      <c r="L328">
        <v>151</v>
      </c>
      <c r="M328" s="1">
        <v>44998</v>
      </c>
      <c r="N328">
        <f t="shared" si="35"/>
        <v>150.42622950819671</v>
      </c>
      <c r="O328" s="1">
        <f t="shared" si="36"/>
        <v>40410</v>
      </c>
      <c r="P328">
        <v>6</v>
      </c>
      <c r="Q328" s="3">
        <v>15</v>
      </c>
      <c r="R328" s="3">
        <v>7.8</v>
      </c>
      <c r="S328" t="s">
        <v>819</v>
      </c>
      <c r="T328" t="str">
        <f t="shared" ref="T328:T340" si="37">S327</f>
        <v>334/10/G</v>
      </c>
      <c r="U328">
        <v>14</v>
      </c>
      <c r="V328">
        <v>7</v>
      </c>
    </row>
    <row r="329" spans="1:22" x14ac:dyDescent="0.25">
      <c r="A329" t="s">
        <v>467</v>
      </c>
      <c r="B329" t="s">
        <v>221</v>
      </c>
      <c r="C329">
        <v>3437</v>
      </c>
      <c r="D329" t="s">
        <v>478</v>
      </c>
      <c r="E329">
        <v>1.8</v>
      </c>
      <c r="F329">
        <v>3150</v>
      </c>
      <c r="G329" t="s">
        <v>225</v>
      </c>
      <c r="H329">
        <v>248</v>
      </c>
      <c r="I329" t="s">
        <v>11</v>
      </c>
      <c r="J329" s="1">
        <v>40410</v>
      </c>
      <c r="K329">
        <v>180</v>
      </c>
      <c r="L329">
        <v>151</v>
      </c>
      <c r="M329" s="1">
        <v>44998</v>
      </c>
      <c r="N329">
        <f t="shared" si="35"/>
        <v>150.42622950819671</v>
      </c>
      <c r="O329" s="1">
        <f t="shared" si="36"/>
        <v>40410</v>
      </c>
      <c r="P329">
        <v>6</v>
      </c>
      <c r="Q329" s="3">
        <v>15</v>
      </c>
      <c r="R329" s="3">
        <v>7.8</v>
      </c>
      <c r="S329" t="s">
        <v>820</v>
      </c>
      <c r="T329" t="str">
        <f t="shared" si="37"/>
        <v>356/10/G</v>
      </c>
      <c r="U329">
        <v>14</v>
      </c>
      <c r="V329">
        <v>7</v>
      </c>
    </row>
    <row r="330" spans="1:22" x14ac:dyDescent="0.25">
      <c r="A330" t="s">
        <v>467</v>
      </c>
      <c r="B330" t="s">
        <v>221</v>
      </c>
      <c r="C330">
        <v>3437</v>
      </c>
      <c r="D330" t="s">
        <v>478</v>
      </c>
      <c r="E330">
        <v>1.8</v>
      </c>
      <c r="F330">
        <v>3150</v>
      </c>
      <c r="G330" t="s">
        <v>226</v>
      </c>
      <c r="H330">
        <v>248</v>
      </c>
      <c r="I330" t="s">
        <v>11</v>
      </c>
      <c r="J330" s="1">
        <v>40410</v>
      </c>
      <c r="K330">
        <v>180</v>
      </c>
      <c r="L330">
        <v>151</v>
      </c>
      <c r="M330" s="1">
        <v>44998</v>
      </c>
      <c r="N330">
        <f t="shared" si="35"/>
        <v>150.42622950819671</v>
      </c>
      <c r="O330" s="1">
        <f t="shared" si="36"/>
        <v>40410</v>
      </c>
      <c r="P330">
        <v>6</v>
      </c>
      <c r="Q330" s="3">
        <v>15</v>
      </c>
      <c r="R330" s="3">
        <v>7.8</v>
      </c>
      <c r="S330" t="s">
        <v>821</v>
      </c>
      <c r="T330" t="str">
        <f t="shared" si="37"/>
        <v>332/10/G</v>
      </c>
      <c r="U330">
        <v>14</v>
      </c>
      <c r="V330">
        <v>7</v>
      </c>
    </row>
    <row r="331" spans="1:22" x14ac:dyDescent="0.25">
      <c r="A331" t="s">
        <v>467</v>
      </c>
      <c r="B331" t="s">
        <v>221</v>
      </c>
      <c r="C331">
        <v>3437</v>
      </c>
      <c r="D331" t="s">
        <v>478</v>
      </c>
      <c r="E331">
        <v>1.8</v>
      </c>
      <c r="F331">
        <v>3150</v>
      </c>
      <c r="G331" t="s">
        <v>227</v>
      </c>
      <c r="H331">
        <v>254</v>
      </c>
      <c r="I331" t="s">
        <v>11</v>
      </c>
      <c r="J331" s="1">
        <v>40410</v>
      </c>
      <c r="K331">
        <v>180</v>
      </c>
      <c r="L331">
        <v>151</v>
      </c>
      <c r="M331" s="1">
        <v>44998</v>
      </c>
      <c r="N331">
        <f t="shared" si="35"/>
        <v>150.42622950819671</v>
      </c>
      <c r="O331" s="1">
        <f t="shared" si="36"/>
        <v>40410</v>
      </c>
      <c r="P331">
        <v>6</v>
      </c>
      <c r="Q331" s="3">
        <v>15</v>
      </c>
      <c r="R331" s="3">
        <v>7.8</v>
      </c>
      <c r="S331" t="s">
        <v>822</v>
      </c>
      <c r="T331" t="str">
        <f t="shared" si="37"/>
        <v>341/10/G</v>
      </c>
      <c r="U331">
        <v>14</v>
      </c>
      <c r="V331">
        <v>7</v>
      </c>
    </row>
    <row r="332" spans="1:22" x14ac:dyDescent="0.25">
      <c r="A332" t="s">
        <v>467</v>
      </c>
      <c r="B332" t="s">
        <v>221</v>
      </c>
      <c r="C332">
        <v>3437</v>
      </c>
      <c r="D332" t="s">
        <v>478</v>
      </c>
      <c r="E332">
        <v>1.8</v>
      </c>
      <c r="F332">
        <v>3150</v>
      </c>
      <c r="G332" t="s">
        <v>228</v>
      </c>
      <c r="H332">
        <v>246</v>
      </c>
      <c r="I332" t="s">
        <v>11</v>
      </c>
      <c r="J332" s="1">
        <v>40410</v>
      </c>
      <c r="K332">
        <v>180</v>
      </c>
      <c r="L332">
        <v>151</v>
      </c>
      <c r="M332" s="1">
        <v>44998</v>
      </c>
      <c r="N332">
        <f t="shared" si="35"/>
        <v>150.42622950819671</v>
      </c>
      <c r="O332" s="1">
        <f t="shared" si="36"/>
        <v>40410</v>
      </c>
      <c r="P332">
        <v>6</v>
      </c>
      <c r="Q332" s="3">
        <v>15</v>
      </c>
      <c r="R332" s="3">
        <v>7.8</v>
      </c>
      <c r="S332" t="s">
        <v>823</v>
      </c>
      <c r="T332" t="str">
        <f t="shared" si="37"/>
        <v>343/10/G</v>
      </c>
      <c r="U332">
        <v>14</v>
      </c>
      <c r="V332">
        <v>7</v>
      </c>
    </row>
    <row r="333" spans="1:22" x14ac:dyDescent="0.25">
      <c r="A333" t="s">
        <v>467</v>
      </c>
      <c r="B333" t="s">
        <v>221</v>
      </c>
      <c r="C333">
        <v>3437</v>
      </c>
      <c r="D333" t="s">
        <v>478</v>
      </c>
      <c r="E333">
        <v>1.8</v>
      </c>
      <c r="F333">
        <v>3150</v>
      </c>
      <c r="G333" t="s">
        <v>229</v>
      </c>
      <c r="H333">
        <v>6</v>
      </c>
      <c r="I333" t="s">
        <v>11</v>
      </c>
      <c r="J333" s="1">
        <v>40478</v>
      </c>
      <c r="K333">
        <v>180</v>
      </c>
      <c r="L333">
        <v>149</v>
      </c>
      <c r="M333" s="1">
        <v>44998</v>
      </c>
      <c r="N333">
        <f t="shared" si="35"/>
        <v>148.19672131147541</v>
      </c>
      <c r="O333" s="1">
        <f t="shared" si="36"/>
        <v>40478</v>
      </c>
      <c r="P333">
        <v>6</v>
      </c>
      <c r="Q333" s="3">
        <v>15</v>
      </c>
      <c r="R333" s="3">
        <v>7.8</v>
      </c>
      <c r="S333" t="s">
        <v>824</v>
      </c>
      <c r="T333" t="str">
        <f t="shared" si="37"/>
        <v>697/10/G</v>
      </c>
      <c r="U333">
        <v>14</v>
      </c>
      <c r="V333">
        <v>7</v>
      </c>
    </row>
    <row r="334" spans="1:22" x14ac:dyDescent="0.25">
      <c r="A334" t="s">
        <v>467</v>
      </c>
      <c r="B334" t="s">
        <v>221</v>
      </c>
      <c r="C334">
        <v>3437</v>
      </c>
      <c r="D334" t="s">
        <v>478</v>
      </c>
      <c r="E334">
        <v>1.8</v>
      </c>
      <c r="F334">
        <v>3150</v>
      </c>
      <c r="G334" t="s">
        <v>230</v>
      </c>
      <c r="H334">
        <v>246</v>
      </c>
      <c r="I334" t="s">
        <v>11</v>
      </c>
      <c r="J334" s="1">
        <v>40410</v>
      </c>
      <c r="K334">
        <v>180</v>
      </c>
      <c r="L334">
        <v>151</v>
      </c>
      <c r="M334" s="1">
        <v>44998</v>
      </c>
      <c r="N334">
        <f t="shared" si="35"/>
        <v>150.42622950819671</v>
      </c>
      <c r="O334" s="1">
        <f t="shared" si="36"/>
        <v>40410</v>
      </c>
      <c r="P334">
        <v>6</v>
      </c>
      <c r="Q334" s="3">
        <v>15</v>
      </c>
      <c r="R334" s="3">
        <v>7.8</v>
      </c>
      <c r="S334" t="s">
        <v>825</v>
      </c>
      <c r="T334" t="str">
        <f t="shared" si="37"/>
        <v>704/10/G</v>
      </c>
      <c r="U334">
        <v>14</v>
      </c>
      <c r="V334">
        <v>7</v>
      </c>
    </row>
    <row r="335" spans="1:22" x14ac:dyDescent="0.25">
      <c r="A335" t="s">
        <v>467</v>
      </c>
      <c r="B335" t="s">
        <v>221</v>
      </c>
      <c r="C335">
        <v>3437</v>
      </c>
      <c r="D335" t="s">
        <v>478</v>
      </c>
      <c r="E335">
        <v>1.8</v>
      </c>
      <c r="F335">
        <v>3150</v>
      </c>
      <c r="G335" t="s">
        <v>231</v>
      </c>
      <c r="H335">
        <v>248</v>
      </c>
      <c r="I335" t="s">
        <v>11</v>
      </c>
      <c r="J335" s="1">
        <v>40410</v>
      </c>
      <c r="K335">
        <v>180</v>
      </c>
      <c r="L335">
        <v>151</v>
      </c>
      <c r="M335" s="1">
        <v>44998</v>
      </c>
      <c r="N335">
        <f t="shared" si="35"/>
        <v>150.42622950819671</v>
      </c>
      <c r="O335" s="1">
        <f t="shared" si="36"/>
        <v>40410</v>
      </c>
      <c r="P335">
        <v>6</v>
      </c>
      <c r="Q335" s="3">
        <v>15</v>
      </c>
      <c r="R335" s="3">
        <v>7.8</v>
      </c>
      <c r="S335" t="s">
        <v>826</v>
      </c>
      <c r="T335" t="str">
        <f t="shared" si="37"/>
        <v>380/10/G</v>
      </c>
      <c r="U335">
        <v>14</v>
      </c>
      <c r="V335">
        <v>7</v>
      </c>
    </row>
    <row r="336" spans="1:22" x14ac:dyDescent="0.25">
      <c r="A336" t="s">
        <v>467</v>
      </c>
      <c r="B336" t="s">
        <v>221</v>
      </c>
      <c r="C336">
        <v>3437</v>
      </c>
      <c r="D336" t="s">
        <v>478</v>
      </c>
      <c r="E336">
        <v>1.8</v>
      </c>
      <c r="F336">
        <v>3150</v>
      </c>
      <c r="G336" t="s">
        <v>232</v>
      </c>
      <c r="H336">
        <v>248</v>
      </c>
      <c r="I336" t="s">
        <v>11</v>
      </c>
      <c r="J336" s="1">
        <v>40410</v>
      </c>
      <c r="K336">
        <v>180</v>
      </c>
      <c r="L336">
        <v>151</v>
      </c>
      <c r="M336" s="1">
        <v>44998</v>
      </c>
      <c r="N336">
        <f t="shared" si="35"/>
        <v>150.42622950819671</v>
      </c>
      <c r="O336" s="1">
        <f t="shared" si="36"/>
        <v>40410</v>
      </c>
      <c r="P336">
        <v>6</v>
      </c>
      <c r="Q336" s="3">
        <v>15</v>
      </c>
      <c r="R336" s="3">
        <v>7.8</v>
      </c>
      <c r="S336" t="s">
        <v>827</v>
      </c>
      <c r="T336" t="str">
        <f t="shared" si="37"/>
        <v>391/10/G</v>
      </c>
      <c r="U336">
        <v>14</v>
      </c>
      <c r="V336">
        <v>7</v>
      </c>
    </row>
    <row r="337" spans="1:22" x14ac:dyDescent="0.25">
      <c r="A337" t="s">
        <v>467</v>
      </c>
      <c r="B337" t="s">
        <v>221</v>
      </c>
      <c r="C337">
        <v>3437</v>
      </c>
      <c r="D337" t="s">
        <v>478</v>
      </c>
      <c r="E337">
        <v>1.8</v>
      </c>
      <c r="F337">
        <v>3150</v>
      </c>
      <c r="G337" t="s">
        <v>233</v>
      </c>
      <c r="H337">
        <v>248</v>
      </c>
      <c r="I337" t="s">
        <v>11</v>
      </c>
      <c r="J337" s="1">
        <v>40410</v>
      </c>
      <c r="K337">
        <v>180</v>
      </c>
      <c r="L337">
        <v>151</v>
      </c>
      <c r="M337" s="1">
        <v>44998</v>
      </c>
      <c r="N337">
        <f t="shared" si="35"/>
        <v>150.42622950819671</v>
      </c>
      <c r="O337" s="1">
        <f t="shared" si="36"/>
        <v>40410</v>
      </c>
      <c r="P337">
        <v>6</v>
      </c>
      <c r="Q337" s="3">
        <v>15</v>
      </c>
      <c r="R337" s="3">
        <v>7.8</v>
      </c>
      <c r="S337" t="s">
        <v>828</v>
      </c>
      <c r="T337" t="str">
        <f t="shared" si="37"/>
        <v>351/10/G</v>
      </c>
      <c r="U337">
        <v>14</v>
      </c>
      <c r="V337">
        <v>7</v>
      </c>
    </row>
    <row r="338" spans="1:22" x14ac:dyDescent="0.25">
      <c r="A338" t="s">
        <v>467</v>
      </c>
      <c r="B338" t="s">
        <v>221</v>
      </c>
      <c r="C338">
        <v>3437</v>
      </c>
      <c r="D338" t="s">
        <v>478</v>
      </c>
      <c r="E338">
        <v>1.8</v>
      </c>
      <c r="F338">
        <v>3150</v>
      </c>
      <c r="G338" t="s">
        <v>234</v>
      </c>
      <c r="H338">
        <v>250</v>
      </c>
      <c r="I338" t="s">
        <v>11</v>
      </c>
      <c r="J338" s="1">
        <v>40410</v>
      </c>
      <c r="K338">
        <v>180</v>
      </c>
      <c r="L338">
        <v>151</v>
      </c>
      <c r="M338" s="1">
        <v>44998</v>
      </c>
      <c r="N338">
        <f t="shared" si="35"/>
        <v>150.42622950819671</v>
      </c>
      <c r="O338" s="1">
        <f t="shared" si="36"/>
        <v>40410</v>
      </c>
      <c r="P338">
        <v>6</v>
      </c>
      <c r="Q338" s="3">
        <v>15</v>
      </c>
      <c r="R338" s="3">
        <v>7.8</v>
      </c>
      <c r="S338" t="s">
        <v>829</v>
      </c>
      <c r="T338" t="str">
        <f t="shared" si="37"/>
        <v>355/10/G</v>
      </c>
      <c r="U338">
        <v>14</v>
      </c>
      <c r="V338">
        <v>7</v>
      </c>
    </row>
    <row r="339" spans="1:22" x14ac:dyDescent="0.25">
      <c r="A339" t="s">
        <v>467</v>
      </c>
      <c r="B339" t="s">
        <v>221</v>
      </c>
      <c r="C339">
        <v>3437</v>
      </c>
      <c r="D339" t="s">
        <v>478</v>
      </c>
      <c r="E339">
        <v>1.8</v>
      </c>
      <c r="F339">
        <v>3150</v>
      </c>
      <c r="G339" t="s">
        <v>235</v>
      </c>
      <c r="H339">
        <v>203</v>
      </c>
      <c r="I339" t="s">
        <v>11</v>
      </c>
      <c r="J339" s="1">
        <v>40410</v>
      </c>
      <c r="K339">
        <v>180</v>
      </c>
      <c r="L339">
        <v>151</v>
      </c>
      <c r="M339" s="1">
        <v>44998</v>
      </c>
      <c r="N339">
        <f t="shared" si="35"/>
        <v>150.42622950819671</v>
      </c>
      <c r="O339" s="1">
        <f t="shared" si="36"/>
        <v>40410</v>
      </c>
      <c r="P339">
        <v>6</v>
      </c>
      <c r="Q339" s="3">
        <v>15</v>
      </c>
      <c r="R339" s="3">
        <v>7.8</v>
      </c>
      <c r="S339" t="s">
        <v>830</v>
      </c>
      <c r="T339" t="str">
        <f t="shared" si="37"/>
        <v>425/10/G</v>
      </c>
      <c r="U339">
        <v>14</v>
      </c>
      <c r="V339">
        <v>7</v>
      </c>
    </row>
    <row r="340" spans="1:22" x14ac:dyDescent="0.25">
      <c r="A340" t="s">
        <v>467</v>
      </c>
      <c r="B340" t="s">
        <v>221</v>
      </c>
      <c r="C340">
        <v>3437</v>
      </c>
      <c r="D340" t="s">
        <v>478</v>
      </c>
      <c r="E340">
        <v>1.8</v>
      </c>
      <c r="F340">
        <v>3150</v>
      </c>
      <c r="G340" t="s">
        <v>236</v>
      </c>
      <c r="H340">
        <v>248</v>
      </c>
      <c r="I340" t="s">
        <v>11</v>
      </c>
      <c r="J340" s="1">
        <v>40410</v>
      </c>
      <c r="K340">
        <v>180</v>
      </c>
      <c r="L340">
        <v>151</v>
      </c>
      <c r="M340" s="1">
        <v>44998</v>
      </c>
      <c r="N340">
        <f t="shared" si="35"/>
        <v>150.42622950819671</v>
      </c>
      <c r="O340" s="1">
        <f t="shared" si="36"/>
        <v>40410</v>
      </c>
      <c r="P340">
        <v>6</v>
      </c>
      <c r="Q340" s="3">
        <v>15</v>
      </c>
      <c r="R340" s="3">
        <v>7.8</v>
      </c>
      <c r="S340" t="s">
        <v>831</v>
      </c>
      <c r="T340" t="str">
        <f t="shared" si="37"/>
        <v>385/10/G</v>
      </c>
      <c r="U340">
        <v>14</v>
      </c>
      <c r="V340">
        <v>7</v>
      </c>
    </row>
    <row r="341" spans="1:22" x14ac:dyDescent="0.25">
      <c r="A341" t="s">
        <v>467</v>
      </c>
      <c r="B341" t="s">
        <v>339</v>
      </c>
      <c r="C341">
        <v>4587</v>
      </c>
      <c r="D341" t="s">
        <v>478</v>
      </c>
      <c r="E341">
        <v>1.8</v>
      </c>
      <c r="F341">
        <v>3150</v>
      </c>
      <c r="G341" t="s">
        <v>340</v>
      </c>
      <c r="H341">
        <v>249</v>
      </c>
      <c r="I341" t="s">
        <v>11</v>
      </c>
      <c r="J341" s="1">
        <v>41509</v>
      </c>
      <c r="K341">
        <v>120</v>
      </c>
      <c r="L341">
        <v>94</v>
      </c>
      <c r="M341" s="1">
        <v>44370</v>
      </c>
      <c r="N341">
        <f t="shared" si="35"/>
        <v>93.803278688524586</v>
      </c>
      <c r="O341" s="1">
        <f t="shared" si="36"/>
        <v>41509</v>
      </c>
      <c r="P341">
        <v>6</v>
      </c>
      <c r="Q341" s="3">
        <v>23</v>
      </c>
      <c r="R341" s="3">
        <v>7.8</v>
      </c>
      <c r="S341" t="s">
        <v>832</v>
      </c>
      <c r="T341" t="str">
        <f>S363</f>
        <v>522/13/G</v>
      </c>
      <c r="U341">
        <v>14</v>
      </c>
      <c r="V341">
        <v>7</v>
      </c>
    </row>
    <row r="342" spans="1:22" x14ac:dyDescent="0.25">
      <c r="A342" t="s">
        <v>467</v>
      </c>
      <c r="B342" t="s">
        <v>339</v>
      </c>
      <c r="C342">
        <v>4587</v>
      </c>
      <c r="D342" t="s">
        <v>478</v>
      </c>
      <c r="E342">
        <v>1.8</v>
      </c>
      <c r="F342">
        <v>3150</v>
      </c>
      <c r="G342" t="s">
        <v>341</v>
      </c>
      <c r="H342">
        <v>249</v>
      </c>
      <c r="I342" t="s">
        <v>11</v>
      </c>
      <c r="J342" s="1">
        <v>41509</v>
      </c>
      <c r="K342">
        <v>120</v>
      </c>
      <c r="L342">
        <v>94</v>
      </c>
      <c r="M342" s="1">
        <v>44370</v>
      </c>
      <c r="N342">
        <f t="shared" si="35"/>
        <v>93.803278688524586</v>
      </c>
      <c r="O342" s="1">
        <f t="shared" si="36"/>
        <v>41509</v>
      </c>
      <c r="P342">
        <v>6</v>
      </c>
      <c r="Q342" s="3">
        <v>23</v>
      </c>
      <c r="R342" s="3">
        <v>7.8</v>
      </c>
      <c r="S342" t="s">
        <v>833</v>
      </c>
      <c r="T342" t="str">
        <f>S341</f>
        <v>330/13/G</v>
      </c>
      <c r="U342">
        <v>14</v>
      </c>
      <c r="V342">
        <v>7</v>
      </c>
    </row>
    <row r="343" spans="1:22" x14ac:dyDescent="0.25">
      <c r="A343" t="s">
        <v>467</v>
      </c>
      <c r="B343" t="s">
        <v>339</v>
      </c>
      <c r="C343">
        <v>4587</v>
      </c>
      <c r="D343" t="s">
        <v>478</v>
      </c>
      <c r="E343">
        <v>1.8</v>
      </c>
      <c r="F343">
        <v>3150</v>
      </c>
      <c r="G343" t="s">
        <v>342</v>
      </c>
      <c r="H343">
        <v>249</v>
      </c>
      <c r="I343" t="s">
        <v>11</v>
      </c>
      <c r="J343" s="1">
        <v>41509</v>
      </c>
      <c r="K343">
        <v>120</v>
      </c>
      <c r="L343">
        <v>94</v>
      </c>
      <c r="M343" s="1">
        <v>44370</v>
      </c>
      <c r="N343">
        <f t="shared" si="35"/>
        <v>93.803278688524586</v>
      </c>
      <c r="O343" s="1">
        <f t="shared" si="36"/>
        <v>41509</v>
      </c>
      <c r="P343">
        <v>6</v>
      </c>
      <c r="Q343" s="3">
        <v>23</v>
      </c>
      <c r="R343" s="3">
        <v>7.8</v>
      </c>
      <c r="S343" t="s">
        <v>834</v>
      </c>
      <c r="T343" t="str">
        <f t="shared" ref="T343:T363" si="38">S342</f>
        <v>340/13/G</v>
      </c>
      <c r="U343">
        <v>14</v>
      </c>
      <c r="V343">
        <v>7</v>
      </c>
    </row>
    <row r="344" spans="1:22" x14ac:dyDescent="0.25">
      <c r="A344" t="s">
        <v>467</v>
      </c>
      <c r="B344" t="s">
        <v>339</v>
      </c>
      <c r="C344">
        <v>4587</v>
      </c>
      <c r="D344" t="s">
        <v>478</v>
      </c>
      <c r="E344">
        <v>1.8</v>
      </c>
      <c r="F344">
        <v>3150</v>
      </c>
      <c r="G344" t="s">
        <v>343</v>
      </c>
      <c r="H344">
        <v>250</v>
      </c>
      <c r="I344" t="s">
        <v>11</v>
      </c>
      <c r="J344" s="1">
        <v>41509</v>
      </c>
      <c r="K344">
        <v>120</v>
      </c>
      <c r="L344">
        <v>94</v>
      </c>
      <c r="M344" s="1">
        <v>44370</v>
      </c>
      <c r="N344">
        <f t="shared" si="35"/>
        <v>93.803278688524586</v>
      </c>
      <c r="O344" s="1">
        <f t="shared" si="36"/>
        <v>41509</v>
      </c>
      <c r="P344">
        <v>6</v>
      </c>
      <c r="Q344" s="3">
        <v>23</v>
      </c>
      <c r="R344" s="3">
        <v>7.8</v>
      </c>
      <c r="S344" t="s">
        <v>835</v>
      </c>
      <c r="T344" t="str">
        <f t="shared" si="38"/>
        <v>343/13/G</v>
      </c>
      <c r="U344">
        <v>14</v>
      </c>
      <c r="V344">
        <v>7</v>
      </c>
    </row>
    <row r="345" spans="1:22" x14ac:dyDescent="0.25">
      <c r="A345" t="s">
        <v>467</v>
      </c>
      <c r="B345" t="s">
        <v>339</v>
      </c>
      <c r="C345">
        <v>4587</v>
      </c>
      <c r="D345" t="s">
        <v>478</v>
      </c>
      <c r="E345">
        <v>1.8</v>
      </c>
      <c r="F345">
        <v>3150</v>
      </c>
      <c r="G345" t="s">
        <v>344</v>
      </c>
      <c r="H345">
        <v>250</v>
      </c>
      <c r="I345" t="s">
        <v>11</v>
      </c>
      <c r="J345" s="1">
        <v>41509</v>
      </c>
      <c r="K345">
        <v>120</v>
      </c>
      <c r="L345">
        <v>94</v>
      </c>
      <c r="M345" s="1">
        <v>44370</v>
      </c>
      <c r="N345">
        <f t="shared" si="35"/>
        <v>93.803278688524586</v>
      </c>
      <c r="O345" s="1">
        <f t="shared" si="36"/>
        <v>41509</v>
      </c>
      <c r="P345">
        <v>6</v>
      </c>
      <c r="Q345" s="3">
        <v>23</v>
      </c>
      <c r="R345" s="3">
        <v>7.8</v>
      </c>
      <c r="S345" t="s">
        <v>836</v>
      </c>
      <c r="T345" t="str">
        <f t="shared" si="38"/>
        <v>349/13/G</v>
      </c>
      <c r="U345">
        <v>14</v>
      </c>
      <c r="V345">
        <v>7</v>
      </c>
    </row>
    <row r="346" spans="1:22" x14ac:dyDescent="0.25">
      <c r="A346" t="s">
        <v>467</v>
      </c>
      <c r="B346" t="s">
        <v>339</v>
      </c>
      <c r="C346">
        <v>4587</v>
      </c>
      <c r="D346" t="s">
        <v>478</v>
      </c>
      <c r="E346">
        <v>1.8</v>
      </c>
      <c r="F346">
        <v>3150</v>
      </c>
      <c r="G346" t="s">
        <v>345</v>
      </c>
      <c r="H346">
        <v>250</v>
      </c>
      <c r="I346" t="s">
        <v>11</v>
      </c>
      <c r="J346" s="1">
        <v>41509</v>
      </c>
      <c r="K346">
        <v>120</v>
      </c>
      <c r="L346">
        <v>94</v>
      </c>
      <c r="M346" s="1">
        <v>44370</v>
      </c>
      <c r="N346">
        <f t="shared" si="35"/>
        <v>93.803278688524586</v>
      </c>
      <c r="O346" s="1">
        <f t="shared" si="36"/>
        <v>41509</v>
      </c>
      <c r="P346">
        <v>6</v>
      </c>
      <c r="Q346" s="3">
        <v>23</v>
      </c>
      <c r="R346" s="3">
        <v>7.8</v>
      </c>
      <c r="S346" t="s">
        <v>837</v>
      </c>
      <c r="T346" t="str">
        <f t="shared" si="38"/>
        <v>353/13/G</v>
      </c>
      <c r="U346">
        <v>14</v>
      </c>
      <c r="V346">
        <v>7</v>
      </c>
    </row>
    <row r="347" spans="1:22" x14ac:dyDescent="0.25">
      <c r="A347" t="s">
        <v>467</v>
      </c>
      <c r="B347" t="s">
        <v>339</v>
      </c>
      <c r="C347">
        <v>4587</v>
      </c>
      <c r="D347" t="s">
        <v>478</v>
      </c>
      <c r="E347">
        <v>1.8</v>
      </c>
      <c r="F347">
        <v>3150</v>
      </c>
      <c r="G347" t="s">
        <v>346</v>
      </c>
      <c r="H347">
        <v>248</v>
      </c>
      <c r="I347" t="s">
        <v>11</v>
      </c>
      <c r="J347" s="1">
        <v>41509</v>
      </c>
      <c r="K347">
        <v>120</v>
      </c>
      <c r="L347">
        <v>94</v>
      </c>
      <c r="M347" s="1">
        <v>44370</v>
      </c>
      <c r="N347">
        <f t="shared" si="35"/>
        <v>93.803278688524586</v>
      </c>
      <c r="O347" s="1">
        <f t="shared" si="36"/>
        <v>41509</v>
      </c>
      <c r="P347">
        <v>6</v>
      </c>
      <c r="Q347" s="3">
        <v>23</v>
      </c>
      <c r="R347" s="3">
        <v>7.8</v>
      </c>
      <c r="S347" t="s">
        <v>838</v>
      </c>
      <c r="T347" t="str">
        <f t="shared" si="38"/>
        <v>657/14/G</v>
      </c>
      <c r="U347">
        <v>14</v>
      </c>
      <c r="V347">
        <v>7</v>
      </c>
    </row>
    <row r="348" spans="1:22" x14ac:dyDescent="0.25">
      <c r="A348" t="s">
        <v>467</v>
      </c>
      <c r="B348" t="s">
        <v>339</v>
      </c>
      <c r="C348">
        <v>4587</v>
      </c>
      <c r="D348" t="s">
        <v>478</v>
      </c>
      <c r="E348">
        <v>1.8</v>
      </c>
      <c r="F348">
        <v>3150</v>
      </c>
      <c r="G348" t="s">
        <v>347</v>
      </c>
      <c r="H348">
        <v>250</v>
      </c>
      <c r="I348" t="s">
        <v>11</v>
      </c>
      <c r="J348" s="1">
        <v>41509</v>
      </c>
      <c r="K348">
        <v>120</v>
      </c>
      <c r="L348">
        <v>94</v>
      </c>
      <c r="M348" s="1">
        <v>44370</v>
      </c>
      <c r="N348">
        <f t="shared" si="35"/>
        <v>93.803278688524586</v>
      </c>
      <c r="O348" s="1">
        <f t="shared" si="36"/>
        <v>41509</v>
      </c>
      <c r="P348">
        <v>6</v>
      </c>
      <c r="Q348" s="3">
        <v>23</v>
      </c>
      <c r="R348" s="3">
        <v>7.8</v>
      </c>
      <c r="S348" t="s">
        <v>839</v>
      </c>
      <c r="T348" t="str">
        <f t="shared" si="38"/>
        <v>371/13/G</v>
      </c>
      <c r="U348">
        <v>14</v>
      </c>
      <c r="V348">
        <v>7</v>
      </c>
    </row>
    <row r="349" spans="1:22" x14ac:dyDescent="0.25">
      <c r="A349" t="s">
        <v>467</v>
      </c>
      <c r="B349" t="s">
        <v>339</v>
      </c>
      <c r="C349">
        <v>4587</v>
      </c>
      <c r="D349" t="s">
        <v>478</v>
      </c>
      <c r="E349">
        <v>1.8</v>
      </c>
      <c r="F349">
        <v>3150</v>
      </c>
      <c r="G349" t="s">
        <v>348</v>
      </c>
      <c r="H349">
        <v>168</v>
      </c>
      <c r="I349" t="s">
        <v>11</v>
      </c>
      <c r="J349" s="1">
        <v>41509</v>
      </c>
      <c r="K349">
        <v>120</v>
      </c>
      <c r="L349">
        <v>94</v>
      </c>
      <c r="M349" s="1">
        <v>44370</v>
      </c>
      <c r="N349">
        <f t="shared" si="35"/>
        <v>93.803278688524586</v>
      </c>
      <c r="O349" s="1">
        <f t="shared" si="36"/>
        <v>41509</v>
      </c>
      <c r="P349">
        <v>6</v>
      </c>
      <c r="Q349" s="3">
        <v>23</v>
      </c>
      <c r="R349" s="3">
        <v>7.8</v>
      </c>
      <c r="S349" t="s">
        <v>840</v>
      </c>
      <c r="T349" t="str">
        <f t="shared" si="38"/>
        <v>396/13/G</v>
      </c>
      <c r="U349">
        <v>14</v>
      </c>
      <c r="V349">
        <v>7</v>
      </c>
    </row>
    <row r="350" spans="1:22" x14ac:dyDescent="0.25">
      <c r="A350" t="s">
        <v>467</v>
      </c>
      <c r="B350" t="s">
        <v>339</v>
      </c>
      <c r="C350">
        <v>4587</v>
      </c>
      <c r="D350" t="s">
        <v>478</v>
      </c>
      <c r="E350">
        <v>1.8</v>
      </c>
      <c r="F350">
        <v>3150</v>
      </c>
      <c r="G350" t="s">
        <v>287</v>
      </c>
      <c r="H350">
        <v>63</v>
      </c>
      <c r="I350" t="s">
        <v>11</v>
      </c>
      <c r="J350" s="1">
        <v>42941</v>
      </c>
      <c r="K350">
        <v>120</v>
      </c>
      <c r="L350">
        <v>47</v>
      </c>
      <c r="M350" s="1">
        <v>44370</v>
      </c>
      <c r="N350">
        <f t="shared" si="35"/>
        <v>46.852459016393439</v>
      </c>
      <c r="O350" s="1">
        <f t="shared" si="36"/>
        <v>42941</v>
      </c>
      <c r="P350">
        <v>6</v>
      </c>
      <c r="Q350" s="3">
        <v>23</v>
      </c>
      <c r="R350" s="3">
        <v>7.8</v>
      </c>
      <c r="S350" t="s">
        <v>841</v>
      </c>
      <c r="T350" t="str">
        <f t="shared" si="38"/>
        <v>377/17/G</v>
      </c>
      <c r="U350">
        <v>14</v>
      </c>
      <c r="V350">
        <v>7</v>
      </c>
    </row>
    <row r="351" spans="1:22" x14ac:dyDescent="0.25">
      <c r="A351" t="s">
        <v>467</v>
      </c>
      <c r="B351" t="s">
        <v>339</v>
      </c>
      <c r="C351">
        <v>4587</v>
      </c>
      <c r="D351" t="s">
        <v>478</v>
      </c>
      <c r="E351">
        <v>1.8</v>
      </c>
      <c r="F351">
        <v>3150</v>
      </c>
      <c r="G351" t="s">
        <v>349</v>
      </c>
      <c r="H351">
        <v>36</v>
      </c>
      <c r="I351" t="s">
        <v>11</v>
      </c>
      <c r="J351" s="1">
        <v>41509</v>
      </c>
      <c r="K351">
        <v>120</v>
      </c>
      <c r="L351">
        <v>94</v>
      </c>
      <c r="M351" s="1">
        <v>44370</v>
      </c>
      <c r="N351">
        <f t="shared" si="35"/>
        <v>93.803278688524586</v>
      </c>
      <c r="O351" s="1">
        <f t="shared" si="36"/>
        <v>41509</v>
      </c>
      <c r="P351">
        <v>6</v>
      </c>
      <c r="Q351" s="3">
        <v>23</v>
      </c>
      <c r="R351" s="3">
        <v>7.8</v>
      </c>
      <c r="S351" t="s">
        <v>842</v>
      </c>
      <c r="T351" t="str">
        <f t="shared" si="38"/>
        <v>376/17/G</v>
      </c>
      <c r="U351">
        <v>14</v>
      </c>
      <c r="V351">
        <v>7</v>
      </c>
    </row>
    <row r="352" spans="1:22" x14ac:dyDescent="0.25">
      <c r="A352" t="s">
        <v>467</v>
      </c>
      <c r="B352" t="s">
        <v>339</v>
      </c>
      <c r="C352">
        <v>4587</v>
      </c>
      <c r="D352" t="s">
        <v>478</v>
      </c>
      <c r="E352">
        <v>1.8</v>
      </c>
      <c r="F352">
        <v>3150</v>
      </c>
      <c r="G352" t="s">
        <v>350</v>
      </c>
      <c r="H352">
        <v>249</v>
      </c>
      <c r="I352" t="s">
        <v>11</v>
      </c>
      <c r="J352" s="1">
        <v>41509</v>
      </c>
      <c r="K352">
        <v>120</v>
      </c>
      <c r="L352">
        <v>94</v>
      </c>
      <c r="M352" s="1">
        <v>44370</v>
      </c>
      <c r="N352">
        <f t="shared" si="35"/>
        <v>93.803278688524586</v>
      </c>
      <c r="O352" s="1">
        <f t="shared" si="36"/>
        <v>41509</v>
      </c>
      <c r="P352">
        <v>6</v>
      </c>
      <c r="Q352" s="3">
        <v>23</v>
      </c>
      <c r="R352" s="3">
        <v>7.8</v>
      </c>
      <c r="S352" t="s">
        <v>843</v>
      </c>
      <c r="T352" t="str">
        <f t="shared" si="38"/>
        <v>393/13/G</v>
      </c>
      <c r="U352">
        <v>14</v>
      </c>
      <c r="V352">
        <v>7</v>
      </c>
    </row>
    <row r="353" spans="1:22" x14ac:dyDescent="0.25">
      <c r="A353" t="s">
        <v>467</v>
      </c>
      <c r="B353" t="s">
        <v>339</v>
      </c>
      <c r="C353">
        <v>4587</v>
      </c>
      <c r="D353" t="s">
        <v>478</v>
      </c>
      <c r="E353">
        <v>1.8</v>
      </c>
      <c r="F353">
        <v>3150</v>
      </c>
      <c r="G353" t="s">
        <v>351</v>
      </c>
      <c r="H353">
        <v>54</v>
      </c>
      <c r="I353" t="s">
        <v>11</v>
      </c>
      <c r="J353" s="1">
        <v>41509</v>
      </c>
      <c r="K353">
        <v>120</v>
      </c>
      <c r="L353">
        <v>94</v>
      </c>
      <c r="M353" s="1">
        <v>44370</v>
      </c>
      <c r="N353">
        <f t="shared" si="35"/>
        <v>93.803278688524586</v>
      </c>
      <c r="O353" s="1">
        <f t="shared" si="36"/>
        <v>41509</v>
      </c>
      <c r="P353">
        <v>6</v>
      </c>
      <c r="Q353" s="3">
        <v>23</v>
      </c>
      <c r="R353" s="3">
        <v>7.8</v>
      </c>
      <c r="S353" t="s">
        <v>844</v>
      </c>
      <c r="T353" t="str">
        <f t="shared" si="38"/>
        <v>524/13/G</v>
      </c>
      <c r="U353">
        <v>14</v>
      </c>
      <c r="V353">
        <v>7</v>
      </c>
    </row>
    <row r="354" spans="1:22" x14ac:dyDescent="0.25">
      <c r="A354" t="s">
        <v>467</v>
      </c>
      <c r="B354" t="s">
        <v>339</v>
      </c>
      <c r="C354">
        <v>4587</v>
      </c>
      <c r="D354" t="s">
        <v>478</v>
      </c>
      <c r="E354">
        <v>1.8</v>
      </c>
      <c r="F354">
        <v>3150</v>
      </c>
      <c r="G354" t="s">
        <v>352</v>
      </c>
      <c r="H354">
        <v>248</v>
      </c>
      <c r="I354" t="s">
        <v>11</v>
      </c>
      <c r="J354" s="1">
        <v>41509</v>
      </c>
      <c r="K354">
        <v>120</v>
      </c>
      <c r="L354">
        <v>94</v>
      </c>
      <c r="M354" s="1">
        <v>44370</v>
      </c>
      <c r="N354">
        <f t="shared" si="35"/>
        <v>93.803278688524586</v>
      </c>
      <c r="O354" s="1">
        <f t="shared" si="36"/>
        <v>41509</v>
      </c>
      <c r="P354">
        <v>6</v>
      </c>
      <c r="Q354" s="3">
        <v>23</v>
      </c>
      <c r="R354" s="3">
        <v>7.8</v>
      </c>
      <c r="S354" t="s">
        <v>845</v>
      </c>
      <c r="T354" t="str">
        <f t="shared" si="38"/>
        <v>439/13/G</v>
      </c>
      <c r="U354">
        <v>14</v>
      </c>
      <c r="V354">
        <v>7</v>
      </c>
    </row>
    <row r="355" spans="1:22" x14ac:dyDescent="0.25">
      <c r="A355" t="s">
        <v>467</v>
      </c>
      <c r="B355" t="s">
        <v>339</v>
      </c>
      <c r="C355">
        <v>4587</v>
      </c>
      <c r="D355" t="s">
        <v>478</v>
      </c>
      <c r="E355">
        <v>1.8</v>
      </c>
      <c r="F355">
        <v>3150</v>
      </c>
      <c r="G355" t="s">
        <v>353</v>
      </c>
      <c r="H355">
        <v>39</v>
      </c>
      <c r="I355" t="s">
        <v>11</v>
      </c>
      <c r="J355" s="1">
        <v>41963</v>
      </c>
      <c r="K355">
        <v>120</v>
      </c>
      <c r="L355">
        <v>79</v>
      </c>
      <c r="M355" s="1">
        <v>44370</v>
      </c>
      <c r="N355">
        <f t="shared" si="35"/>
        <v>78.918032786885249</v>
      </c>
      <c r="O355" s="1">
        <f t="shared" si="36"/>
        <v>41963</v>
      </c>
      <c r="P355">
        <v>6</v>
      </c>
      <c r="Q355" s="3">
        <v>23</v>
      </c>
      <c r="R355" s="3">
        <v>7.8</v>
      </c>
      <c r="S355" t="s">
        <v>846</v>
      </c>
      <c r="T355" t="str">
        <f t="shared" si="38"/>
        <v>647/14/G</v>
      </c>
      <c r="U355">
        <v>14</v>
      </c>
      <c r="V355">
        <v>7</v>
      </c>
    </row>
    <row r="356" spans="1:22" x14ac:dyDescent="0.25">
      <c r="A356" t="s">
        <v>467</v>
      </c>
      <c r="B356" t="s">
        <v>339</v>
      </c>
      <c r="C356">
        <v>4587</v>
      </c>
      <c r="D356" t="s">
        <v>478</v>
      </c>
      <c r="E356">
        <v>1.8</v>
      </c>
      <c r="F356">
        <v>3150</v>
      </c>
      <c r="G356" t="s">
        <v>354</v>
      </c>
      <c r="H356">
        <v>123</v>
      </c>
      <c r="I356" t="s">
        <v>11</v>
      </c>
      <c r="J356" s="1">
        <v>41509</v>
      </c>
      <c r="K356">
        <v>120</v>
      </c>
      <c r="L356">
        <v>94</v>
      </c>
      <c r="M356" s="1">
        <v>44370</v>
      </c>
      <c r="N356">
        <f t="shared" si="35"/>
        <v>93.803278688524586</v>
      </c>
      <c r="O356" s="1">
        <f t="shared" si="36"/>
        <v>41509</v>
      </c>
      <c r="P356">
        <v>6</v>
      </c>
      <c r="Q356" s="3">
        <v>23</v>
      </c>
      <c r="R356" s="3">
        <v>7.8</v>
      </c>
      <c r="S356" t="s">
        <v>847</v>
      </c>
      <c r="T356" t="str">
        <f t="shared" si="38"/>
        <v>659/14/G</v>
      </c>
      <c r="U356">
        <v>14</v>
      </c>
      <c r="V356">
        <v>7</v>
      </c>
    </row>
    <row r="357" spans="1:22" x14ac:dyDescent="0.25">
      <c r="A357" t="s">
        <v>467</v>
      </c>
      <c r="B357" t="s">
        <v>339</v>
      </c>
      <c r="C357">
        <v>4587</v>
      </c>
      <c r="D357" t="s">
        <v>478</v>
      </c>
      <c r="E357">
        <v>1.8</v>
      </c>
      <c r="F357">
        <v>3150</v>
      </c>
      <c r="G357" t="s">
        <v>355</v>
      </c>
      <c r="H357">
        <v>105</v>
      </c>
      <c r="I357" t="s">
        <v>11</v>
      </c>
      <c r="J357" s="1">
        <v>41509</v>
      </c>
      <c r="K357">
        <v>120</v>
      </c>
      <c r="L357">
        <v>94</v>
      </c>
      <c r="M357" s="1">
        <v>44370</v>
      </c>
      <c r="N357">
        <f t="shared" si="35"/>
        <v>93.803278688524586</v>
      </c>
      <c r="O357" s="1">
        <f t="shared" si="36"/>
        <v>41509</v>
      </c>
      <c r="P357">
        <v>6</v>
      </c>
      <c r="Q357" s="3">
        <v>23</v>
      </c>
      <c r="R357" s="3">
        <v>7.8</v>
      </c>
      <c r="S357" t="s">
        <v>848</v>
      </c>
      <c r="T357" t="str">
        <f t="shared" si="38"/>
        <v>378/17/G</v>
      </c>
      <c r="U357">
        <v>14</v>
      </c>
      <c r="V357">
        <v>7</v>
      </c>
    </row>
    <row r="358" spans="1:22" x14ac:dyDescent="0.25">
      <c r="A358" t="s">
        <v>467</v>
      </c>
      <c r="B358" t="s">
        <v>339</v>
      </c>
      <c r="C358">
        <v>4587</v>
      </c>
      <c r="D358" t="s">
        <v>478</v>
      </c>
      <c r="E358">
        <v>1.8</v>
      </c>
      <c r="F358">
        <v>3150</v>
      </c>
      <c r="G358" t="s">
        <v>356</v>
      </c>
      <c r="H358">
        <v>250</v>
      </c>
      <c r="I358" t="s">
        <v>11</v>
      </c>
      <c r="J358" s="1">
        <v>41509</v>
      </c>
      <c r="K358">
        <v>120</v>
      </c>
      <c r="L358">
        <v>94</v>
      </c>
      <c r="M358" s="1">
        <v>44370</v>
      </c>
      <c r="N358">
        <f t="shared" si="35"/>
        <v>93.803278688524586</v>
      </c>
      <c r="O358" s="1">
        <f t="shared" si="36"/>
        <v>41509</v>
      </c>
      <c r="P358">
        <v>6</v>
      </c>
      <c r="Q358" s="3">
        <v>23</v>
      </c>
      <c r="R358" s="3">
        <v>7.8</v>
      </c>
      <c r="S358" t="s">
        <v>849</v>
      </c>
      <c r="T358" t="str">
        <f t="shared" si="38"/>
        <v>417/13/G</v>
      </c>
      <c r="U358">
        <v>14</v>
      </c>
      <c r="V358">
        <v>7</v>
      </c>
    </row>
    <row r="359" spans="1:22" x14ac:dyDescent="0.25">
      <c r="A359" t="s">
        <v>467</v>
      </c>
      <c r="B359" t="s">
        <v>339</v>
      </c>
      <c r="C359">
        <v>4587</v>
      </c>
      <c r="D359" t="s">
        <v>478</v>
      </c>
      <c r="E359">
        <v>1.8</v>
      </c>
      <c r="F359">
        <v>3150</v>
      </c>
      <c r="G359" t="s">
        <v>357</v>
      </c>
      <c r="H359">
        <v>250</v>
      </c>
      <c r="I359" t="s">
        <v>11</v>
      </c>
      <c r="J359" s="1">
        <v>41509</v>
      </c>
      <c r="K359">
        <v>120</v>
      </c>
      <c r="L359">
        <v>94</v>
      </c>
      <c r="M359" s="1">
        <v>44370</v>
      </c>
      <c r="N359">
        <f t="shared" si="35"/>
        <v>93.803278688524586</v>
      </c>
      <c r="O359" s="1">
        <f t="shared" si="36"/>
        <v>41509</v>
      </c>
      <c r="P359">
        <v>6</v>
      </c>
      <c r="Q359" s="3">
        <v>23</v>
      </c>
      <c r="R359" s="3">
        <v>7.8</v>
      </c>
      <c r="S359" t="s">
        <v>850</v>
      </c>
      <c r="T359" t="str">
        <f t="shared" si="38"/>
        <v>392/13/G</v>
      </c>
      <c r="U359">
        <v>14</v>
      </c>
      <c r="V359">
        <v>7</v>
      </c>
    </row>
    <row r="360" spans="1:22" x14ac:dyDescent="0.25">
      <c r="A360" t="s">
        <v>467</v>
      </c>
      <c r="B360" t="s">
        <v>339</v>
      </c>
      <c r="C360">
        <v>4587</v>
      </c>
      <c r="D360" t="s">
        <v>478</v>
      </c>
      <c r="E360">
        <v>1.8</v>
      </c>
      <c r="F360">
        <v>3150</v>
      </c>
      <c r="G360" t="s">
        <v>358</v>
      </c>
      <c r="H360">
        <v>251</v>
      </c>
      <c r="I360" t="s">
        <v>11</v>
      </c>
      <c r="J360" s="1">
        <v>41509</v>
      </c>
      <c r="K360">
        <v>120</v>
      </c>
      <c r="L360">
        <v>94</v>
      </c>
      <c r="M360" s="1">
        <v>44370</v>
      </c>
      <c r="N360">
        <f t="shared" si="35"/>
        <v>93.803278688524586</v>
      </c>
      <c r="O360" s="1">
        <f t="shared" si="36"/>
        <v>41509</v>
      </c>
      <c r="P360">
        <v>6</v>
      </c>
      <c r="Q360" s="3">
        <v>23</v>
      </c>
      <c r="R360" s="3">
        <v>7.8</v>
      </c>
      <c r="S360" t="s">
        <v>851</v>
      </c>
      <c r="T360" t="str">
        <f t="shared" si="38"/>
        <v>387/13/G</v>
      </c>
      <c r="U360">
        <v>14</v>
      </c>
      <c r="V360">
        <v>7</v>
      </c>
    </row>
    <row r="361" spans="1:22" x14ac:dyDescent="0.25">
      <c r="A361" t="s">
        <v>467</v>
      </c>
      <c r="B361" t="s">
        <v>339</v>
      </c>
      <c r="C361">
        <v>4587</v>
      </c>
      <c r="D361" t="s">
        <v>478</v>
      </c>
      <c r="E361">
        <v>1.8</v>
      </c>
      <c r="F361">
        <v>3150</v>
      </c>
      <c r="G361" t="s">
        <v>359</v>
      </c>
      <c r="H361">
        <v>251</v>
      </c>
      <c r="I361" t="s">
        <v>11</v>
      </c>
      <c r="J361" s="1">
        <v>41509</v>
      </c>
      <c r="K361">
        <v>120</v>
      </c>
      <c r="L361">
        <v>94</v>
      </c>
      <c r="M361" s="1">
        <v>44370</v>
      </c>
      <c r="N361">
        <f t="shared" si="35"/>
        <v>93.803278688524586</v>
      </c>
      <c r="O361" s="1">
        <f t="shared" si="36"/>
        <v>41509</v>
      </c>
      <c r="P361">
        <v>6</v>
      </c>
      <c r="Q361" s="3">
        <v>23</v>
      </c>
      <c r="R361" s="3">
        <v>7.8</v>
      </c>
      <c r="S361" t="s">
        <v>852</v>
      </c>
      <c r="T361" t="str">
        <f t="shared" si="38"/>
        <v>380/13/G</v>
      </c>
      <c r="U361">
        <v>14</v>
      </c>
      <c r="V361">
        <v>7</v>
      </c>
    </row>
    <row r="362" spans="1:22" x14ac:dyDescent="0.25">
      <c r="A362" t="s">
        <v>467</v>
      </c>
      <c r="B362" t="s">
        <v>339</v>
      </c>
      <c r="C362">
        <v>4587</v>
      </c>
      <c r="D362" t="s">
        <v>478</v>
      </c>
      <c r="E362">
        <v>1.8</v>
      </c>
      <c r="F362">
        <v>3150</v>
      </c>
      <c r="G362" t="s">
        <v>360</v>
      </c>
      <c r="H362">
        <v>255</v>
      </c>
      <c r="I362" t="s">
        <v>11</v>
      </c>
      <c r="J362" s="1">
        <v>41509</v>
      </c>
      <c r="K362">
        <v>120</v>
      </c>
      <c r="L362">
        <v>94</v>
      </c>
      <c r="M362" s="1">
        <v>44370</v>
      </c>
      <c r="N362">
        <f t="shared" si="35"/>
        <v>93.803278688524586</v>
      </c>
      <c r="O362" s="1">
        <f t="shared" si="36"/>
        <v>41509</v>
      </c>
      <c r="P362">
        <v>6</v>
      </c>
      <c r="Q362" s="3">
        <v>23</v>
      </c>
      <c r="R362" s="3">
        <v>7.8</v>
      </c>
      <c r="S362" t="s">
        <v>853</v>
      </c>
      <c r="T362" t="str">
        <f t="shared" si="38"/>
        <v>372/13/G</v>
      </c>
      <c r="U362">
        <v>14</v>
      </c>
      <c r="V362">
        <v>7</v>
      </c>
    </row>
    <row r="363" spans="1:22" x14ac:dyDescent="0.25">
      <c r="A363" t="s">
        <v>467</v>
      </c>
      <c r="B363" t="s">
        <v>339</v>
      </c>
      <c r="C363">
        <v>4587</v>
      </c>
      <c r="D363" t="s">
        <v>478</v>
      </c>
      <c r="E363">
        <v>1.8</v>
      </c>
      <c r="F363">
        <v>3150</v>
      </c>
      <c r="G363" t="s">
        <v>361</v>
      </c>
      <c r="H363">
        <v>250</v>
      </c>
      <c r="I363" t="s">
        <v>11</v>
      </c>
      <c r="J363" s="1">
        <v>41509</v>
      </c>
      <c r="K363">
        <v>120</v>
      </c>
      <c r="L363">
        <v>94</v>
      </c>
      <c r="M363" s="1">
        <v>44370</v>
      </c>
      <c r="N363">
        <f t="shared" si="35"/>
        <v>93.803278688524586</v>
      </c>
      <c r="O363" s="1">
        <f t="shared" si="36"/>
        <v>41509</v>
      </c>
      <c r="P363">
        <v>6</v>
      </c>
      <c r="Q363" s="3">
        <v>23</v>
      </c>
      <c r="R363" s="3">
        <v>7.8</v>
      </c>
      <c r="S363" t="s">
        <v>854</v>
      </c>
      <c r="T363" t="str">
        <f t="shared" si="38"/>
        <v>368/13/G</v>
      </c>
      <c r="U363">
        <v>14</v>
      </c>
      <c r="V363">
        <v>7</v>
      </c>
    </row>
    <row r="364" spans="1:22" x14ac:dyDescent="0.25">
      <c r="A364" t="s">
        <v>467</v>
      </c>
      <c r="B364" t="s">
        <v>120</v>
      </c>
      <c r="C364">
        <v>2974</v>
      </c>
      <c r="D364" t="s">
        <v>461</v>
      </c>
      <c r="E364">
        <v>1.8</v>
      </c>
      <c r="F364">
        <v>3150</v>
      </c>
      <c r="G364" t="s">
        <v>121</v>
      </c>
      <c r="H364">
        <v>249</v>
      </c>
      <c r="I364" t="s">
        <v>11</v>
      </c>
      <c r="J364" s="1">
        <v>38660</v>
      </c>
      <c r="K364">
        <v>180</v>
      </c>
      <c r="L364">
        <v>290</v>
      </c>
      <c r="M364" s="1">
        <v>44973</v>
      </c>
      <c r="N364">
        <f t="shared" si="35"/>
        <v>206.98360655737704</v>
      </c>
      <c r="O364" s="1">
        <f t="shared" si="36"/>
        <v>36128</v>
      </c>
      <c r="P364">
        <v>6</v>
      </c>
      <c r="Q364" s="3">
        <v>23</v>
      </c>
      <c r="R364" s="3">
        <v>7.8</v>
      </c>
      <c r="S364" t="s">
        <v>855</v>
      </c>
      <c r="T364" t="str">
        <f>S386</f>
        <v>211/05/Z</v>
      </c>
      <c r="U364">
        <v>14</v>
      </c>
      <c r="V364">
        <v>7</v>
      </c>
    </row>
    <row r="365" spans="1:22" x14ac:dyDescent="0.25">
      <c r="A365" t="s">
        <v>467</v>
      </c>
      <c r="B365" t="s">
        <v>120</v>
      </c>
      <c r="C365">
        <v>2974</v>
      </c>
      <c r="D365" t="s">
        <v>461</v>
      </c>
      <c r="E365">
        <v>1.8</v>
      </c>
      <c r="F365">
        <v>3150</v>
      </c>
      <c r="G365" t="s">
        <v>122</v>
      </c>
      <c r="H365">
        <v>249</v>
      </c>
      <c r="I365" t="s">
        <v>11</v>
      </c>
      <c r="J365" s="1">
        <v>38660</v>
      </c>
      <c r="K365">
        <v>180</v>
      </c>
      <c r="L365">
        <v>290</v>
      </c>
      <c r="M365" s="1">
        <v>44973</v>
      </c>
      <c r="N365">
        <f t="shared" si="35"/>
        <v>206.98360655737704</v>
      </c>
      <c r="O365" s="1">
        <f t="shared" si="36"/>
        <v>36128</v>
      </c>
      <c r="P365">
        <v>6</v>
      </c>
      <c r="Q365" s="3">
        <v>23</v>
      </c>
      <c r="R365" s="3">
        <v>7.8</v>
      </c>
      <c r="S365" t="s">
        <v>856</v>
      </c>
      <c r="T365" t="str">
        <f>S364</f>
        <v>209/05/Z</v>
      </c>
      <c r="U365">
        <v>14</v>
      </c>
      <c r="V365">
        <v>7</v>
      </c>
    </row>
    <row r="366" spans="1:22" x14ac:dyDescent="0.25">
      <c r="A366" t="s">
        <v>467</v>
      </c>
      <c r="B366" t="s">
        <v>120</v>
      </c>
      <c r="C366">
        <v>2974</v>
      </c>
      <c r="D366" t="s">
        <v>461</v>
      </c>
      <c r="E366">
        <v>1.8</v>
      </c>
      <c r="F366">
        <v>3150</v>
      </c>
      <c r="G366" t="s">
        <v>123</v>
      </c>
      <c r="H366">
        <v>249</v>
      </c>
      <c r="I366" t="s">
        <v>11</v>
      </c>
      <c r="J366" s="1">
        <v>38660</v>
      </c>
      <c r="K366">
        <v>180</v>
      </c>
      <c r="L366">
        <v>290</v>
      </c>
      <c r="M366" s="1">
        <v>44973</v>
      </c>
      <c r="N366">
        <f t="shared" si="35"/>
        <v>206.98360655737704</v>
      </c>
      <c r="O366" s="1">
        <f t="shared" si="36"/>
        <v>36128</v>
      </c>
      <c r="P366">
        <v>6</v>
      </c>
      <c r="Q366" s="3">
        <v>23</v>
      </c>
      <c r="R366" s="3">
        <v>7.8</v>
      </c>
      <c r="S366" t="s">
        <v>857</v>
      </c>
      <c r="T366" t="str">
        <f t="shared" ref="T366:T386" si="39">S365</f>
        <v>207/05/Z</v>
      </c>
      <c r="U366">
        <v>14</v>
      </c>
      <c r="V366">
        <v>7</v>
      </c>
    </row>
    <row r="367" spans="1:22" x14ac:dyDescent="0.25">
      <c r="A367" t="s">
        <v>467</v>
      </c>
      <c r="B367" t="s">
        <v>120</v>
      </c>
      <c r="C367">
        <v>2974</v>
      </c>
      <c r="D367" t="s">
        <v>461</v>
      </c>
      <c r="E367">
        <v>1.8</v>
      </c>
      <c r="F367">
        <v>3150</v>
      </c>
      <c r="G367" t="s">
        <v>124</v>
      </c>
      <c r="H367">
        <v>28</v>
      </c>
      <c r="I367" t="s">
        <v>42</v>
      </c>
      <c r="J367" s="1">
        <v>38660</v>
      </c>
      <c r="K367">
        <v>180</v>
      </c>
      <c r="L367">
        <v>207</v>
      </c>
      <c r="M367" s="1">
        <v>44973</v>
      </c>
      <c r="N367">
        <f t="shared" si="35"/>
        <v>206.98360655737704</v>
      </c>
      <c r="O367" s="1">
        <f t="shared" si="36"/>
        <v>38660</v>
      </c>
      <c r="P367">
        <v>6</v>
      </c>
      <c r="Q367" s="3">
        <v>23</v>
      </c>
      <c r="R367" s="3">
        <v>7.8</v>
      </c>
      <c r="S367" t="s">
        <v>858</v>
      </c>
      <c r="T367" t="str">
        <f t="shared" si="39"/>
        <v>226/05/Z</v>
      </c>
      <c r="U367">
        <v>14</v>
      </c>
      <c r="V367">
        <v>7</v>
      </c>
    </row>
    <row r="368" spans="1:22" x14ac:dyDescent="0.25">
      <c r="A368" t="s">
        <v>467</v>
      </c>
      <c r="B368" t="s">
        <v>120</v>
      </c>
      <c r="C368">
        <v>2974</v>
      </c>
      <c r="D368" t="s">
        <v>461</v>
      </c>
      <c r="E368">
        <v>1.8</v>
      </c>
      <c r="F368">
        <v>3150</v>
      </c>
      <c r="G368" t="s">
        <v>125</v>
      </c>
      <c r="H368">
        <v>16</v>
      </c>
      <c r="I368" t="s">
        <v>42</v>
      </c>
      <c r="J368" s="1">
        <v>38660</v>
      </c>
      <c r="K368">
        <v>180</v>
      </c>
      <c r="L368">
        <v>235</v>
      </c>
      <c r="M368" s="1">
        <v>44973</v>
      </c>
      <c r="N368">
        <f t="shared" si="35"/>
        <v>206.98360655737704</v>
      </c>
      <c r="O368" s="1">
        <f t="shared" si="36"/>
        <v>37805.5</v>
      </c>
      <c r="P368">
        <v>6</v>
      </c>
      <c r="Q368" s="3">
        <v>23</v>
      </c>
      <c r="R368" s="3">
        <v>7.8</v>
      </c>
      <c r="S368" t="s">
        <v>859</v>
      </c>
      <c r="T368" t="str">
        <f t="shared" si="39"/>
        <v>132/06/Z</v>
      </c>
      <c r="U368">
        <v>14</v>
      </c>
      <c r="V368">
        <v>7</v>
      </c>
    </row>
    <row r="369" spans="1:22" x14ac:dyDescent="0.25">
      <c r="A369" t="s">
        <v>467</v>
      </c>
      <c r="B369" t="s">
        <v>120</v>
      </c>
      <c r="C369">
        <v>2974</v>
      </c>
      <c r="D369" t="s">
        <v>461</v>
      </c>
      <c r="E369">
        <v>1.8</v>
      </c>
      <c r="F369">
        <v>3150</v>
      </c>
      <c r="G369" t="s">
        <v>126</v>
      </c>
      <c r="H369">
        <v>10</v>
      </c>
      <c r="I369" t="s">
        <v>28</v>
      </c>
      <c r="J369" s="1">
        <v>38868</v>
      </c>
      <c r="K369">
        <v>180</v>
      </c>
      <c r="L369">
        <v>259</v>
      </c>
      <c r="M369" s="1">
        <v>44973</v>
      </c>
      <c r="N369">
        <f t="shared" si="35"/>
        <v>200.1639344262295</v>
      </c>
      <c r="O369" s="1">
        <f t="shared" si="36"/>
        <v>37073.5</v>
      </c>
      <c r="P369">
        <v>6</v>
      </c>
      <c r="Q369" s="3">
        <v>23</v>
      </c>
      <c r="R369" s="3">
        <v>7.8</v>
      </c>
      <c r="S369" t="s">
        <v>860</v>
      </c>
      <c r="T369" t="str">
        <f t="shared" si="39"/>
        <v>134/06/Z</v>
      </c>
      <c r="U369">
        <v>14</v>
      </c>
      <c r="V369">
        <v>7</v>
      </c>
    </row>
    <row r="370" spans="1:22" x14ac:dyDescent="0.25">
      <c r="A370" t="s">
        <v>467</v>
      </c>
      <c r="B370" t="s">
        <v>120</v>
      </c>
      <c r="C370">
        <v>2974</v>
      </c>
      <c r="D370" t="s">
        <v>461</v>
      </c>
      <c r="E370">
        <v>1.8</v>
      </c>
      <c r="F370">
        <v>3150</v>
      </c>
      <c r="G370" t="s">
        <v>127</v>
      </c>
      <c r="H370">
        <v>31</v>
      </c>
      <c r="I370" t="s">
        <v>42</v>
      </c>
      <c r="J370" s="1">
        <v>38868</v>
      </c>
      <c r="K370">
        <v>180</v>
      </c>
      <c r="L370">
        <v>262</v>
      </c>
      <c r="M370" s="1">
        <v>44973</v>
      </c>
      <c r="N370">
        <f t="shared" si="35"/>
        <v>200.1639344262295</v>
      </c>
      <c r="O370" s="1">
        <f t="shared" si="36"/>
        <v>36982</v>
      </c>
      <c r="P370">
        <v>6</v>
      </c>
      <c r="Q370" s="3">
        <v>23</v>
      </c>
      <c r="R370" s="3">
        <v>7.8</v>
      </c>
      <c r="S370" t="s">
        <v>861</v>
      </c>
      <c r="T370" t="str">
        <f t="shared" si="39"/>
        <v>53/03/G</v>
      </c>
      <c r="U370">
        <v>14</v>
      </c>
      <c r="V370">
        <v>7</v>
      </c>
    </row>
    <row r="371" spans="1:22" x14ac:dyDescent="0.25">
      <c r="A371" t="s">
        <v>467</v>
      </c>
      <c r="B371" t="s">
        <v>120</v>
      </c>
      <c r="C371">
        <v>2974</v>
      </c>
      <c r="D371" t="s">
        <v>461</v>
      </c>
      <c r="E371">
        <v>1.8</v>
      </c>
      <c r="F371">
        <v>3150</v>
      </c>
      <c r="G371" t="s">
        <v>128</v>
      </c>
      <c r="H371">
        <v>13</v>
      </c>
      <c r="I371" t="s">
        <v>28</v>
      </c>
      <c r="J371" s="1">
        <v>38868</v>
      </c>
      <c r="K371">
        <v>180</v>
      </c>
      <c r="L371">
        <v>262</v>
      </c>
      <c r="M371" s="1">
        <v>44973</v>
      </c>
      <c r="N371">
        <f t="shared" si="35"/>
        <v>200.1639344262295</v>
      </c>
      <c r="O371" s="1">
        <f t="shared" si="36"/>
        <v>36982</v>
      </c>
      <c r="P371">
        <v>6</v>
      </c>
      <c r="Q371" s="3">
        <v>23</v>
      </c>
      <c r="R371" s="3">
        <v>7.8</v>
      </c>
      <c r="S371" t="s">
        <v>862</v>
      </c>
      <c r="T371" t="str">
        <f t="shared" si="39"/>
        <v>64/87/W</v>
      </c>
      <c r="U371">
        <v>14</v>
      </c>
      <c r="V371">
        <v>7</v>
      </c>
    </row>
    <row r="372" spans="1:22" x14ac:dyDescent="0.25">
      <c r="A372" t="s">
        <v>467</v>
      </c>
      <c r="B372" t="s">
        <v>120</v>
      </c>
      <c r="C372">
        <v>2974</v>
      </c>
      <c r="D372" t="s">
        <v>461</v>
      </c>
      <c r="E372">
        <v>1.8</v>
      </c>
      <c r="F372">
        <v>3150</v>
      </c>
      <c r="G372" t="s">
        <v>129</v>
      </c>
      <c r="H372">
        <v>60</v>
      </c>
      <c r="I372" t="s">
        <v>42</v>
      </c>
      <c r="J372" s="1">
        <v>38868</v>
      </c>
      <c r="K372">
        <v>180</v>
      </c>
      <c r="L372">
        <v>233</v>
      </c>
      <c r="M372" s="1">
        <v>44973</v>
      </c>
      <c r="N372">
        <f t="shared" si="35"/>
        <v>200.1639344262295</v>
      </c>
      <c r="O372" s="1">
        <f t="shared" si="36"/>
        <v>37866.5</v>
      </c>
      <c r="P372">
        <v>6</v>
      </c>
      <c r="Q372" s="3">
        <v>23</v>
      </c>
      <c r="R372" s="3">
        <v>7.8</v>
      </c>
      <c r="S372" t="s">
        <v>863</v>
      </c>
      <c r="T372" t="str">
        <f t="shared" si="39"/>
        <v>163/03/G</v>
      </c>
      <c r="U372">
        <v>14</v>
      </c>
      <c r="V372">
        <v>7</v>
      </c>
    </row>
    <row r="373" spans="1:22" x14ac:dyDescent="0.25">
      <c r="A373" t="s">
        <v>467</v>
      </c>
      <c r="B373" t="s">
        <v>120</v>
      </c>
      <c r="C373">
        <v>2974</v>
      </c>
      <c r="D373" t="s">
        <v>461</v>
      </c>
      <c r="E373">
        <v>1.8</v>
      </c>
      <c r="F373">
        <v>3150</v>
      </c>
      <c r="G373" t="s">
        <v>130</v>
      </c>
      <c r="H373">
        <v>38</v>
      </c>
      <c r="I373" t="s">
        <v>28</v>
      </c>
      <c r="J373" s="1">
        <v>38868</v>
      </c>
      <c r="K373">
        <v>180</v>
      </c>
      <c r="L373">
        <v>232</v>
      </c>
      <c r="M373" s="1">
        <v>44973</v>
      </c>
      <c r="N373">
        <f t="shared" si="35"/>
        <v>200.1639344262295</v>
      </c>
      <c r="O373" s="1">
        <f t="shared" si="36"/>
        <v>37897</v>
      </c>
      <c r="P373">
        <v>6</v>
      </c>
      <c r="Q373" s="3">
        <v>23</v>
      </c>
      <c r="R373" s="3">
        <v>7.8</v>
      </c>
      <c r="S373" t="s">
        <v>864</v>
      </c>
      <c r="T373" t="str">
        <f t="shared" si="39"/>
        <v>179/03/G</v>
      </c>
      <c r="U373">
        <v>14</v>
      </c>
      <c r="V373">
        <v>7</v>
      </c>
    </row>
    <row r="374" spans="1:22" x14ac:dyDescent="0.25">
      <c r="A374" t="s">
        <v>467</v>
      </c>
      <c r="B374" t="s">
        <v>120</v>
      </c>
      <c r="C374">
        <v>2974</v>
      </c>
      <c r="D374" t="s">
        <v>461</v>
      </c>
      <c r="E374">
        <v>1.8</v>
      </c>
      <c r="F374">
        <v>3150</v>
      </c>
      <c r="G374" t="s">
        <v>131</v>
      </c>
      <c r="H374">
        <v>105</v>
      </c>
      <c r="I374" t="s">
        <v>42</v>
      </c>
      <c r="J374" s="1">
        <v>38868</v>
      </c>
      <c r="K374">
        <v>180</v>
      </c>
      <c r="L374">
        <v>266</v>
      </c>
      <c r="M374" s="1">
        <v>44973</v>
      </c>
      <c r="N374">
        <f t="shared" si="35"/>
        <v>200.1639344262295</v>
      </c>
      <c r="O374" s="1">
        <f t="shared" si="36"/>
        <v>36860</v>
      </c>
      <c r="P374">
        <v>6</v>
      </c>
      <c r="Q374" s="3">
        <v>23</v>
      </c>
      <c r="R374" s="3">
        <v>7.8</v>
      </c>
      <c r="S374" t="s">
        <v>865</v>
      </c>
      <c r="T374" t="str">
        <f t="shared" si="39"/>
        <v>131/06/Z</v>
      </c>
      <c r="U374">
        <v>14</v>
      </c>
      <c r="V374">
        <v>7</v>
      </c>
    </row>
    <row r="375" spans="1:22" x14ac:dyDescent="0.25">
      <c r="A375" t="s">
        <v>467</v>
      </c>
      <c r="B375" t="s">
        <v>120</v>
      </c>
      <c r="C375">
        <v>2974</v>
      </c>
      <c r="D375" t="s">
        <v>461</v>
      </c>
      <c r="E375">
        <v>1.8</v>
      </c>
      <c r="F375">
        <v>3150</v>
      </c>
      <c r="G375" t="s">
        <v>132</v>
      </c>
      <c r="H375">
        <v>10</v>
      </c>
      <c r="I375" t="s">
        <v>42</v>
      </c>
      <c r="J375" s="1">
        <v>38868</v>
      </c>
      <c r="K375">
        <v>180</v>
      </c>
      <c r="L375">
        <v>201</v>
      </c>
      <c r="M375" s="1">
        <v>44973</v>
      </c>
      <c r="N375">
        <f t="shared" si="35"/>
        <v>200.1639344262295</v>
      </c>
      <c r="O375" s="1">
        <f t="shared" si="36"/>
        <v>38868</v>
      </c>
      <c r="P375">
        <v>6</v>
      </c>
      <c r="Q375" s="3">
        <v>23</v>
      </c>
      <c r="R375" s="3">
        <v>7.8</v>
      </c>
      <c r="S375" t="s">
        <v>866</v>
      </c>
      <c r="T375" t="str">
        <f t="shared" si="39"/>
        <v>192/86/Z</v>
      </c>
      <c r="U375">
        <v>14</v>
      </c>
      <c r="V375">
        <v>7</v>
      </c>
    </row>
    <row r="376" spans="1:22" x14ac:dyDescent="0.25">
      <c r="A376" t="s">
        <v>467</v>
      </c>
      <c r="B376" t="s">
        <v>120</v>
      </c>
      <c r="C376">
        <v>2974</v>
      </c>
      <c r="D376" t="s">
        <v>461</v>
      </c>
      <c r="E376">
        <v>1.8</v>
      </c>
      <c r="F376">
        <v>3150</v>
      </c>
      <c r="G376" t="s">
        <v>133</v>
      </c>
      <c r="H376">
        <v>90</v>
      </c>
      <c r="I376" t="s">
        <v>11</v>
      </c>
      <c r="J376" s="1">
        <v>38868</v>
      </c>
      <c r="K376">
        <v>180</v>
      </c>
      <c r="L376">
        <v>264</v>
      </c>
      <c r="M376" s="1">
        <v>44973</v>
      </c>
      <c r="N376">
        <f t="shared" si="35"/>
        <v>200.1639344262295</v>
      </c>
      <c r="O376" s="1">
        <f t="shared" si="36"/>
        <v>36921</v>
      </c>
      <c r="P376">
        <v>6</v>
      </c>
      <c r="Q376" s="3">
        <v>23</v>
      </c>
      <c r="R376" s="3">
        <v>7.8</v>
      </c>
      <c r="S376" t="s">
        <v>867</v>
      </c>
      <c r="T376" t="str">
        <f t="shared" si="39"/>
        <v>132/85/Z</v>
      </c>
      <c r="U376">
        <v>14</v>
      </c>
      <c r="V376">
        <v>7</v>
      </c>
    </row>
    <row r="377" spans="1:22" x14ac:dyDescent="0.25">
      <c r="A377" t="s">
        <v>467</v>
      </c>
      <c r="B377" t="s">
        <v>120</v>
      </c>
      <c r="C377">
        <v>2974</v>
      </c>
      <c r="D377" t="s">
        <v>461</v>
      </c>
      <c r="E377">
        <v>1.8</v>
      </c>
      <c r="F377">
        <v>3150</v>
      </c>
      <c r="G377" t="s">
        <v>134</v>
      </c>
      <c r="H377">
        <v>99</v>
      </c>
      <c r="I377" t="s">
        <v>42</v>
      </c>
      <c r="J377" s="1">
        <v>38868</v>
      </c>
      <c r="K377">
        <v>180</v>
      </c>
      <c r="L377">
        <v>278</v>
      </c>
      <c r="M377" s="1">
        <v>44973</v>
      </c>
      <c r="N377">
        <f t="shared" si="35"/>
        <v>200.1639344262295</v>
      </c>
      <c r="O377" s="1">
        <f t="shared" si="36"/>
        <v>36494</v>
      </c>
      <c r="P377">
        <v>6</v>
      </c>
      <c r="Q377" s="3">
        <v>23</v>
      </c>
      <c r="R377" s="3">
        <v>7.8</v>
      </c>
      <c r="S377" t="s">
        <v>868</v>
      </c>
      <c r="T377" t="str">
        <f t="shared" si="39"/>
        <v>128/03/Z</v>
      </c>
      <c r="U377">
        <v>14</v>
      </c>
      <c r="V377">
        <v>7</v>
      </c>
    </row>
    <row r="378" spans="1:22" x14ac:dyDescent="0.25">
      <c r="A378" t="s">
        <v>467</v>
      </c>
      <c r="B378" t="s">
        <v>120</v>
      </c>
      <c r="C378">
        <v>2974</v>
      </c>
      <c r="D378" t="s">
        <v>461</v>
      </c>
      <c r="E378">
        <v>1.8</v>
      </c>
      <c r="F378">
        <v>3150</v>
      </c>
      <c r="G378" t="s">
        <v>135</v>
      </c>
      <c r="H378">
        <v>58</v>
      </c>
      <c r="I378" t="s">
        <v>11</v>
      </c>
      <c r="J378" s="1">
        <v>38868</v>
      </c>
      <c r="K378">
        <v>180</v>
      </c>
      <c r="L378">
        <v>274</v>
      </c>
      <c r="M378" s="1">
        <v>44973</v>
      </c>
      <c r="N378">
        <f t="shared" si="35"/>
        <v>200.1639344262295</v>
      </c>
      <c r="O378" s="1">
        <f t="shared" si="36"/>
        <v>36616</v>
      </c>
      <c r="P378">
        <v>6</v>
      </c>
      <c r="Q378" s="3">
        <v>23</v>
      </c>
      <c r="R378" s="3">
        <v>7.8</v>
      </c>
      <c r="S378" t="s">
        <v>869</v>
      </c>
      <c r="T378" t="str">
        <f t="shared" si="39"/>
        <v>127/06/Z</v>
      </c>
      <c r="U378">
        <v>14</v>
      </c>
      <c r="V378">
        <v>7</v>
      </c>
    </row>
    <row r="379" spans="1:22" x14ac:dyDescent="0.25">
      <c r="A379" t="s">
        <v>467</v>
      </c>
      <c r="B379" t="s">
        <v>120</v>
      </c>
      <c r="C379">
        <v>2974</v>
      </c>
      <c r="D379" t="s">
        <v>461</v>
      </c>
      <c r="E379">
        <v>1.8</v>
      </c>
      <c r="F379">
        <v>3150</v>
      </c>
      <c r="G379" t="s">
        <v>136</v>
      </c>
      <c r="H379">
        <v>61</v>
      </c>
      <c r="I379" t="s">
        <v>42</v>
      </c>
      <c r="J379" s="1">
        <v>38868</v>
      </c>
      <c r="K379">
        <v>180</v>
      </c>
      <c r="L379">
        <v>273</v>
      </c>
      <c r="M379" s="1">
        <v>44973</v>
      </c>
      <c r="N379">
        <f t="shared" si="35"/>
        <v>200.1639344262295</v>
      </c>
      <c r="O379" s="1">
        <f t="shared" si="36"/>
        <v>36646.5</v>
      </c>
      <c r="P379">
        <v>6</v>
      </c>
      <c r="Q379" s="3">
        <v>23</v>
      </c>
      <c r="R379" s="3">
        <v>7.8</v>
      </c>
      <c r="S379" t="s">
        <v>870</v>
      </c>
      <c r="T379" t="str">
        <f t="shared" si="39"/>
        <v>126/06/Z</v>
      </c>
      <c r="U379">
        <v>14</v>
      </c>
      <c r="V379">
        <v>7</v>
      </c>
    </row>
    <row r="380" spans="1:22" x14ac:dyDescent="0.25">
      <c r="A380" t="s">
        <v>467</v>
      </c>
      <c r="B380" t="s">
        <v>120</v>
      </c>
      <c r="C380">
        <v>2974</v>
      </c>
      <c r="D380" t="s">
        <v>461</v>
      </c>
      <c r="E380">
        <v>1.8</v>
      </c>
      <c r="F380">
        <v>3150</v>
      </c>
      <c r="G380" t="s">
        <v>137</v>
      </c>
      <c r="H380">
        <v>123</v>
      </c>
      <c r="I380" t="s">
        <v>42</v>
      </c>
      <c r="J380" s="1">
        <v>38660</v>
      </c>
      <c r="K380">
        <v>180</v>
      </c>
      <c r="L380">
        <v>207</v>
      </c>
      <c r="M380" s="1">
        <v>44973</v>
      </c>
      <c r="N380">
        <f t="shared" si="35"/>
        <v>206.98360655737704</v>
      </c>
      <c r="O380" s="1">
        <f t="shared" si="36"/>
        <v>38660</v>
      </c>
      <c r="P380">
        <v>6</v>
      </c>
      <c r="Q380" s="3">
        <v>23</v>
      </c>
      <c r="R380" s="3">
        <v>7.8</v>
      </c>
      <c r="S380" t="s">
        <v>871</v>
      </c>
      <c r="T380" t="str">
        <f t="shared" si="39"/>
        <v>125/06/Z</v>
      </c>
      <c r="U380">
        <v>14</v>
      </c>
      <c r="V380">
        <v>7</v>
      </c>
    </row>
    <row r="381" spans="1:22" x14ac:dyDescent="0.25">
      <c r="A381" t="s">
        <v>467</v>
      </c>
      <c r="B381" t="s">
        <v>120</v>
      </c>
      <c r="C381">
        <v>2974</v>
      </c>
      <c r="D381" t="s">
        <v>461</v>
      </c>
      <c r="E381">
        <v>1.8</v>
      </c>
      <c r="F381">
        <v>3150</v>
      </c>
      <c r="G381" t="s">
        <v>138</v>
      </c>
      <c r="H381">
        <v>249</v>
      </c>
      <c r="I381" t="s">
        <v>11</v>
      </c>
      <c r="J381" s="1">
        <v>38660</v>
      </c>
      <c r="K381">
        <v>180</v>
      </c>
      <c r="L381">
        <v>290</v>
      </c>
      <c r="M381" s="1">
        <v>44973</v>
      </c>
      <c r="N381">
        <f t="shared" si="35"/>
        <v>206.98360655737704</v>
      </c>
      <c r="O381" s="1">
        <f t="shared" si="36"/>
        <v>36128</v>
      </c>
      <c r="P381">
        <v>6</v>
      </c>
      <c r="Q381" s="3">
        <v>23</v>
      </c>
      <c r="R381" s="3">
        <v>7.8</v>
      </c>
      <c r="S381" t="s">
        <v>872</v>
      </c>
      <c r="T381" t="str">
        <f t="shared" si="39"/>
        <v>214/05/Z</v>
      </c>
      <c r="U381">
        <v>14</v>
      </c>
      <c r="V381">
        <v>7</v>
      </c>
    </row>
    <row r="382" spans="1:22" x14ac:dyDescent="0.25">
      <c r="A382" t="s">
        <v>467</v>
      </c>
      <c r="B382" t="s">
        <v>120</v>
      </c>
      <c r="C382">
        <v>2974</v>
      </c>
      <c r="D382" t="s">
        <v>461</v>
      </c>
      <c r="E382">
        <v>1.8</v>
      </c>
      <c r="F382">
        <v>3150</v>
      </c>
      <c r="G382" t="s">
        <v>139</v>
      </c>
      <c r="H382">
        <v>249</v>
      </c>
      <c r="I382" t="s">
        <v>11</v>
      </c>
      <c r="J382" s="1">
        <v>38660</v>
      </c>
      <c r="K382">
        <v>180</v>
      </c>
      <c r="L382">
        <v>290</v>
      </c>
      <c r="M382" s="1">
        <v>44973</v>
      </c>
      <c r="N382">
        <f t="shared" ref="N382:N427" si="40">(M382-J382)/30.5</f>
        <v>206.98360655737704</v>
      </c>
      <c r="O382" s="1">
        <f t="shared" ref="O382:O427" si="41">IF(ABS(L382-N382)&lt;1, J382, M382-L382*30.5)</f>
        <v>36128</v>
      </c>
      <c r="P382">
        <v>6</v>
      </c>
      <c r="Q382" s="3">
        <v>23</v>
      </c>
      <c r="R382" s="3">
        <v>7.8</v>
      </c>
      <c r="S382" t="s">
        <v>873</v>
      </c>
      <c r="T382" t="str">
        <f t="shared" si="39"/>
        <v>206/05/Z</v>
      </c>
      <c r="U382">
        <v>14</v>
      </c>
      <c r="V382">
        <v>7</v>
      </c>
    </row>
    <row r="383" spans="1:22" x14ac:dyDescent="0.25">
      <c r="A383" t="s">
        <v>467</v>
      </c>
      <c r="B383" t="s">
        <v>120</v>
      </c>
      <c r="C383">
        <v>2974</v>
      </c>
      <c r="D383" t="s">
        <v>461</v>
      </c>
      <c r="E383">
        <v>1.8</v>
      </c>
      <c r="F383">
        <v>3150</v>
      </c>
      <c r="G383" t="s">
        <v>140</v>
      </c>
      <c r="H383">
        <v>247</v>
      </c>
      <c r="I383" t="s">
        <v>11</v>
      </c>
      <c r="J383" s="1">
        <v>38660</v>
      </c>
      <c r="K383">
        <v>180</v>
      </c>
      <c r="L383">
        <v>290</v>
      </c>
      <c r="M383" s="1">
        <v>44973</v>
      </c>
      <c r="N383">
        <f t="shared" si="40"/>
        <v>206.98360655737704</v>
      </c>
      <c r="O383" s="1">
        <f t="shared" si="41"/>
        <v>36128</v>
      </c>
      <c r="P383">
        <v>6</v>
      </c>
      <c r="Q383" s="3">
        <v>23</v>
      </c>
      <c r="R383" s="3">
        <v>7.8</v>
      </c>
      <c r="S383" t="s">
        <v>874</v>
      </c>
      <c r="T383" t="str">
        <f t="shared" si="39"/>
        <v>208/05/Z</v>
      </c>
      <c r="U383">
        <v>14</v>
      </c>
      <c r="V383">
        <v>7</v>
      </c>
    </row>
    <row r="384" spans="1:22" x14ac:dyDescent="0.25">
      <c r="A384" t="s">
        <v>467</v>
      </c>
      <c r="B384" t="s">
        <v>120</v>
      </c>
      <c r="C384">
        <v>2974</v>
      </c>
      <c r="D384" t="s">
        <v>461</v>
      </c>
      <c r="E384">
        <v>1.8</v>
      </c>
      <c r="F384">
        <v>3150</v>
      </c>
      <c r="G384" t="s">
        <v>141</v>
      </c>
      <c r="H384">
        <v>249</v>
      </c>
      <c r="I384" t="s">
        <v>11</v>
      </c>
      <c r="J384" s="1">
        <v>38660</v>
      </c>
      <c r="K384">
        <v>180</v>
      </c>
      <c r="L384">
        <v>290</v>
      </c>
      <c r="M384" s="1">
        <v>44973</v>
      </c>
      <c r="N384">
        <f t="shared" si="40"/>
        <v>206.98360655737704</v>
      </c>
      <c r="O384" s="1">
        <f t="shared" si="41"/>
        <v>36128</v>
      </c>
      <c r="P384">
        <v>6</v>
      </c>
      <c r="Q384" s="3">
        <v>23</v>
      </c>
      <c r="R384" s="3">
        <v>7.8</v>
      </c>
      <c r="S384" t="s">
        <v>875</v>
      </c>
      <c r="T384" t="str">
        <f t="shared" si="39"/>
        <v>210/05/Z</v>
      </c>
      <c r="U384">
        <v>14</v>
      </c>
      <c r="V384">
        <v>7</v>
      </c>
    </row>
    <row r="385" spans="1:22" x14ac:dyDescent="0.25">
      <c r="A385" t="s">
        <v>467</v>
      </c>
      <c r="B385" t="s">
        <v>120</v>
      </c>
      <c r="C385">
        <v>2974</v>
      </c>
      <c r="D385" t="s">
        <v>461</v>
      </c>
      <c r="E385">
        <v>1.8</v>
      </c>
      <c r="F385">
        <v>3150</v>
      </c>
      <c r="G385" t="s">
        <v>142</v>
      </c>
      <c r="H385">
        <v>240</v>
      </c>
      <c r="I385" t="s">
        <v>42</v>
      </c>
      <c r="J385" s="1">
        <v>38660</v>
      </c>
      <c r="K385">
        <v>180</v>
      </c>
      <c r="L385">
        <v>207</v>
      </c>
      <c r="M385" s="1">
        <v>44973</v>
      </c>
      <c r="N385">
        <f t="shared" si="40"/>
        <v>206.98360655737704</v>
      </c>
      <c r="O385" s="1">
        <f t="shared" si="41"/>
        <v>38660</v>
      </c>
      <c r="P385">
        <v>6</v>
      </c>
      <c r="Q385" s="3">
        <v>23</v>
      </c>
      <c r="R385" s="3">
        <v>7.8</v>
      </c>
      <c r="S385" t="s">
        <v>876</v>
      </c>
      <c r="T385" t="str">
        <f t="shared" si="39"/>
        <v>212/05/Z</v>
      </c>
      <c r="U385">
        <v>14</v>
      </c>
      <c r="V385">
        <v>7</v>
      </c>
    </row>
    <row r="386" spans="1:22" x14ac:dyDescent="0.25">
      <c r="A386" t="s">
        <v>467</v>
      </c>
      <c r="B386" t="s">
        <v>120</v>
      </c>
      <c r="C386">
        <v>2974</v>
      </c>
      <c r="D386" t="s">
        <v>461</v>
      </c>
      <c r="E386">
        <v>1.8</v>
      </c>
      <c r="F386">
        <v>3150</v>
      </c>
      <c r="G386" t="s">
        <v>143</v>
      </c>
      <c r="H386">
        <v>251</v>
      </c>
      <c r="I386" t="s">
        <v>11</v>
      </c>
      <c r="J386" s="1">
        <v>38660</v>
      </c>
      <c r="K386">
        <v>180</v>
      </c>
      <c r="L386">
        <v>290</v>
      </c>
      <c r="M386" s="1">
        <v>44973</v>
      </c>
      <c r="N386">
        <f t="shared" si="40"/>
        <v>206.98360655737704</v>
      </c>
      <c r="O386" s="1">
        <f t="shared" si="41"/>
        <v>36128</v>
      </c>
      <c r="P386">
        <v>6</v>
      </c>
      <c r="Q386" s="3">
        <v>23</v>
      </c>
      <c r="R386" s="3">
        <v>7.8</v>
      </c>
      <c r="S386" t="s">
        <v>877</v>
      </c>
      <c r="T386" t="str">
        <f t="shared" si="39"/>
        <v>213/05/Z</v>
      </c>
      <c r="U386">
        <v>14</v>
      </c>
      <c r="V386">
        <v>7</v>
      </c>
    </row>
    <row r="387" spans="1:22" x14ac:dyDescent="0.25">
      <c r="A387" t="s">
        <v>467</v>
      </c>
      <c r="B387" t="s">
        <v>237</v>
      </c>
      <c r="C387">
        <v>2967</v>
      </c>
      <c r="D387" t="s">
        <v>461</v>
      </c>
      <c r="E387">
        <v>2.25</v>
      </c>
      <c r="F387">
        <v>3150</v>
      </c>
      <c r="G387" t="s">
        <v>238</v>
      </c>
      <c r="H387">
        <v>257</v>
      </c>
      <c r="I387" t="s">
        <v>42</v>
      </c>
      <c r="J387" s="1">
        <v>44005</v>
      </c>
      <c r="K387">
        <v>48</v>
      </c>
      <c r="L387">
        <v>34</v>
      </c>
      <c r="M387" s="1">
        <v>45027</v>
      </c>
      <c r="N387">
        <f t="shared" si="40"/>
        <v>33.508196721311478</v>
      </c>
      <c r="O387" s="1">
        <f t="shared" si="41"/>
        <v>44005</v>
      </c>
      <c r="P387">
        <v>6</v>
      </c>
      <c r="Q387" s="3">
        <v>15</v>
      </c>
      <c r="R387" s="3">
        <v>7.8</v>
      </c>
      <c r="S387" t="s">
        <v>878</v>
      </c>
      <c r="T387" t="str">
        <f>S401</f>
        <v>216/20/G</v>
      </c>
      <c r="U387">
        <v>14</v>
      </c>
      <c r="V387">
        <v>7</v>
      </c>
    </row>
    <row r="388" spans="1:22" x14ac:dyDescent="0.25">
      <c r="A388" t="s">
        <v>467</v>
      </c>
      <c r="B388" t="s">
        <v>237</v>
      </c>
      <c r="C388">
        <v>2967</v>
      </c>
      <c r="D388" t="s">
        <v>461</v>
      </c>
      <c r="E388">
        <v>2.25</v>
      </c>
      <c r="F388">
        <v>3150</v>
      </c>
      <c r="G388" t="s">
        <v>239</v>
      </c>
      <c r="H388">
        <v>254</v>
      </c>
      <c r="I388" t="s">
        <v>42</v>
      </c>
      <c r="J388" s="1">
        <v>44005</v>
      </c>
      <c r="K388">
        <v>48</v>
      </c>
      <c r="L388">
        <v>34</v>
      </c>
      <c r="M388" s="1">
        <v>45027</v>
      </c>
      <c r="N388">
        <f t="shared" si="40"/>
        <v>33.508196721311478</v>
      </c>
      <c r="O388" s="1">
        <f t="shared" si="41"/>
        <v>44005</v>
      </c>
      <c r="P388">
        <v>6</v>
      </c>
      <c r="Q388" s="3">
        <v>15</v>
      </c>
      <c r="R388" s="3">
        <v>7.8</v>
      </c>
      <c r="S388" t="s">
        <v>879</v>
      </c>
      <c r="T388" t="str">
        <f>S387</f>
        <v>219/20/G</v>
      </c>
      <c r="U388">
        <v>14</v>
      </c>
      <c r="V388">
        <v>7</v>
      </c>
    </row>
    <row r="389" spans="1:22" x14ac:dyDescent="0.25">
      <c r="A389" t="s">
        <v>467</v>
      </c>
      <c r="B389" t="s">
        <v>237</v>
      </c>
      <c r="C389">
        <v>2967</v>
      </c>
      <c r="D389" t="s">
        <v>461</v>
      </c>
      <c r="E389">
        <v>2.25</v>
      </c>
      <c r="F389">
        <v>3150</v>
      </c>
      <c r="G389" t="s">
        <v>240</v>
      </c>
      <c r="H389">
        <v>255</v>
      </c>
      <c r="I389" t="s">
        <v>42</v>
      </c>
      <c r="J389" s="1">
        <v>44005</v>
      </c>
      <c r="K389">
        <v>48</v>
      </c>
      <c r="L389">
        <v>34</v>
      </c>
      <c r="M389" s="1">
        <v>45027</v>
      </c>
      <c r="N389">
        <f t="shared" si="40"/>
        <v>33.508196721311478</v>
      </c>
      <c r="O389" s="1">
        <f t="shared" si="41"/>
        <v>44005</v>
      </c>
      <c r="P389">
        <v>6</v>
      </c>
      <c r="Q389" s="3">
        <v>15</v>
      </c>
      <c r="R389" s="3">
        <v>7.8</v>
      </c>
      <c r="S389" t="s">
        <v>880</v>
      </c>
      <c r="T389" t="str">
        <f t="shared" ref="T389:T401" si="42">S388</f>
        <v>232/20/G</v>
      </c>
      <c r="U389">
        <v>14</v>
      </c>
      <c r="V389">
        <v>7</v>
      </c>
    </row>
    <row r="390" spans="1:22" x14ac:dyDescent="0.25">
      <c r="A390" t="s">
        <v>467</v>
      </c>
      <c r="B390" t="s">
        <v>237</v>
      </c>
      <c r="C390">
        <v>2967</v>
      </c>
      <c r="D390" t="s">
        <v>461</v>
      </c>
      <c r="E390">
        <v>2.25</v>
      </c>
      <c r="F390">
        <v>3150</v>
      </c>
      <c r="G390" t="s">
        <v>241</v>
      </c>
      <c r="H390">
        <v>40</v>
      </c>
      <c r="I390" t="s">
        <v>11</v>
      </c>
      <c r="J390" s="1">
        <v>43696</v>
      </c>
      <c r="K390">
        <v>72</v>
      </c>
      <c r="L390">
        <v>69</v>
      </c>
      <c r="M390" s="1">
        <v>45027</v>
      </c>
      <c r="N390">
        <f t="shared" si="40"/>
        <v>43.639344262295083</v>
      </c>
      <c r="O390" s="1">
        <f t="shared" si="41"/>
        <v>42922.5</v>
      </c>
      <c r="P390">
        <v>6</v>
      </c>
      <c r="Q390" s="3">
        <v>15</v>
      </c>
      <c r="R390" s="3">
        <v>7.8</v>
      </c>
      <c r="S390" t="s">
        <v>881</v>
      </c>
      <c r="T390" t="str">
        <f t="shared" si="42"/>
        <v>285/20/G</v>
      </c>
      <c r="U390">
        <v>14</v>
      </c>
      <c r="V390">
        <v>7</v>
      </c>
    </row>
    <row r="391" spans="1:22" x14ac:dyDescent="0.25">
      <c r="A391" t="s">
        <v>467</v>
      </c>
      <c r="B391" t="s">
        <v>237</v>
      </c>
      <c r="C391">
        <v>2967</v>
      </c>
      <c r="D391" t="s">
        <v>461</v>
      </c>
      <c r="E391">
        <v>2.25</v>
      </c>
      <c r="F391">
        <v>3150</v>
      </c>
      <c r="G391" t="s">
        <v>242</v>
      </c>
      <c r="H391">
        <v>186</v>
      </c>
      <c r="I391" t="s">
        <v>11</v>
      </c>
      <c r="J391" s="1">
        <v>43696</v>
      </c>
      <c r="K391">
        <v>72</v>
      </c>
      <c r="L391">
        <v>57</v>
      </c>
      <c r="M391" s="1">
        <v>45027</v>
      </c>
      <c r="N391">
        <f t="shared" si="40"/>
        <v>43.639344262295083</v>
      </c>
      <c r="O391" s="1">
        <f t="shared" si="41"/>
        <v>43288.5</v>
      </c>
      <c r="P391">
        <v>6</v>
      </c>
      <c r="Q391" s="3">
        <v>15</v>
      </c>
      <c r="R391" s="3">
        <v>7.8</v>
      </c>
      <c r="S391" t="s">
        <v>882</v>
      </c>
      <c r="T391" t="str">
        <f t="shared" si="42"/>
        <v>352/19/G</v>
      </c>
      <c r="U391">
        <v>14</v>
      </c>
      <c r="V391">
        <v>7</v>
      </c>
    </row>
    <row r="392" spans="1:22" x14ac:dyDescent="0.25">
      <c r="A392" t="s">
        <v>467</v>
      </c>
      <c r="B392" t="s">
        <v>237</v>
      </c>
      <c r="C392">
        <v>2967</v>
      </c>
      <c r="D392" t="s">
        <v>461</v>
      </c>
      <c r="E392">
        <v>2.25</v>
      </c>
      <c r="F392">
        <v>3150</v>
      </c>
      <c r="G392" t="s">
        <v>243</v>
      </c>
      <c r="H392">
        <v>245</v>
      </c>
      <c r="I392" t="s">
        <v>11</v>
      </c>
      <c r="J392" s="1">
        <v>43696</v>
      </c>
      <c r="K392">
        <v>72</v>
      </c>
      <c r="L392">
        <v>65</v>
      </c>
      <c r="M392" s="1">
        <v>45027</v>
      </c>
      <c r="N392">
        <f t="shared" si="40"/>
        <v>43.639344262295083</v>
      </c>
      <c r="O392" s="1">
        <f t="shared" si="41"/>
        <v>43044.5</v>
      </c>
      <c r="P392">
        <v>6</v>
      </c>
      <c r="Q392" s="3">
        <v>15</v>
      </c>
      <c r="R392" s="3">
        <v>7.8</v>
      </c>
      <c r="S392" t="s">
        <v>883</v>
      </c>
      <c r="T392" t="str">
        <f t="shared" si="42"/>
        <v>353/19/G</v>
      </c>
      <c r="U392">
        <v>14</v>
      </c>
      <c r="V392">
        <v>7</v>
      </c>
    </row>
    <row r="393" spans="1:22" x14ac:dyDescent="0.25">
      <c r="A393" t="s">
        <v>467</v>
      </c>
      <c r="B393" t="s">
        <v>237</v>
      </c>
      <c r="C393">
        <v>2967</v>
      </c>
      <c r="D393" t="s">
        <v>461</v>
      </c>
      <c r="E393">
        <v>2.25</v>
      </c>
      <c r="F393">
        <v>3150</v>
      </c>
      <c r="G393" t="s">
        <v>244</v>
      </c>
      <c r="H393">
        <v>244</v>
      </c>
      <c r="I393" t="s">
        <v>11</v>
      </c>
      <c r="J393" s="1">
        <v>43696</v>
      </c>
      <c r="K393">
        <v>72</v>
      </c>
      <c r="L393">
        <v>65</v>
      </c>
      <c r="M393" s="1">
        <v>45027</v>
      </c>
      <c r="N393">
        <f t="shared" si="40"/>
        <v>43.639344262295083</v>
      </c>
      <c r="O393" s="1">
        <f t="shared" si="41"/>
        <v>43044.5</v>
      </c>
      <c r="P393">
        <v>6</v>
      </c>
      <c r="Q393" s="3">
        <v>15</v>
      </c>
      <c r="R393" s="3">
        <v>7.8</v>
      </c>
      <c r="S393" t="s">
        <v>884</v>
      </c>
      <c r="T393" t="str">
        <f t="shared" si="42"/>
        <v>346/19/G</v>
      </c>
      <c r="U393">
        <v>14</v>
      </c>
      <c r="V393">
        <v>7</v>
      </c>
    </row>
    <row r="394" spans="1:22" x14ac:dyDescent="0.25">
      <c r="A394" t="s">
        <v>467</v>
      </c>
      <c r="B394" t="s">
        <v>237</v>
      </c>
      <c r="C394">
        <v>2967</v>
      </c>
      <c r="D394" t="s">
        <v>461</v>
      </c>
      <c r="E394">
        <v>2.25</v>
      </c>
      <c r="F394">
        <v>3150</v>
      </c>
      <c r="G394" t="s">
        <v>245</v>
      </c>
      <c r="H394">
        <v>250</v>
      </c>
      <c r="I394" t="s">
        <v>42</v>
      </c>
      <c r="J394" s="1">
        <v>44005</v>
      </c>
      <c r="K394">
        <v>48</v>
      </c>
      <c r="L394">
        <v>34</v>
      </c>
      <c r="M394" s="1">
        <v>45027</v>
      </c>
      <c r="N394">
        <f t="shared" si="40"/>
        <v>33.508196721311478</v>
      </c>
      <c r="O394" s="1">
        <f t="shared" si="41"/>
        <v>44005</v>
      </c>
      <c r="P394">
        <v>6</v>
      </c>
      <c r="Q394" s="3">
        <v>15</v>
      </c>
      <c r="R394" s="3">
        <v>7.8</v>
      </c>
      <c r="S394" t="s">
        <v>885</v>
      </c>
      <c r="T394" t="str">
        <f t="shared" si="42"/>
        <v>290/20/G</v>
      </c>
      <c r="U394">
        <v>14</v>
      </c>
      <c r="V394">
        <v>7</v>
      </c>
    </row>
    <row r="395" spans="1:22" x14ac:dyDescent="0.25">
      <c r="A395" t="s">
        <v>467</v>
      </c>
      <c r="B395" t="s">
        <v>237</v>
      </c>
      <c r="C395">
        <v>2967</v>
      </c>
      <c r="D395" t="s">
        <v>461</v>
      </c>
      <c r="E395">
        <v>2.25</v>
      </c>
      <c r="F395">
        <v>3150</v>
      </c>
      <c r="G395" t="s">
        <v>246</v>
      </c>
      <c r="H395">
        <v>240</v>
      </c>
      <c r="I395" t="s">
        <v>28</v>
      </c>
      <c r="J395" s="1">
        <v>44005</v>
      </c>
      <c r="K395">
        <v>48</v>
      </c>
      <c r="L395">
        <v>34</v>
      </c>
      <c r="M395" s="1">
        <v>45027</v>
      </c>
      <c r="N395">
        <f t="shared" si="40"/>
        <v>33.508196721311478</v>
      </c>
      <c r="O395" s="1">
        <f t="shared" si="41"/>
        <v>44005</v>
      </c>
      <c r="P395">
        <v>6</v>
      </c>
      <c r="Q395" s="3">
        <v>15</v>
      </c>
      <c r="R395" s="3">
        <v>7.8</v>
      </c>
      <c r="S395" t="s">
        <v>886</v>
      </c>
      <c r="T395" t="str">
        <f t="shared" si="42"/>
        <v>286/20/G</v>
      </c>
      <c r="U395">
        <v>14</v>
      </c>
      <c r="V395">
        <v>7</v>
      </c>
    </row>
    <row r="396" spans="1:22" x14ac:dyDescent="0.25">
      <c r="A396" t="s">
        <v>467</v>
      </c>
      <c r="B396" t="s">
        <v>237</v>
      </c>
      <c r="C396">
        <v>2967</v>
      </c>
      <c r="D396" t="s">
        <v>461</v>
      </c>
      <c r="E396">
        <v>2.25</v>
      </c>
      <c r="F396">
        <v>3150</v>
      </c>
      <c r="G396" t="s">
        <v>247</v>
      </c>
      <c r="H396">
        <v>233</v>
      </c>
      <c r="I396" t="s">
        <v>28</v>
      </c>
      <c r="J396" s="1">
        <v>44005</v>
      </c>
      <c r="K396">
        <v>48</v>
      </c>
      <c r="L396">
        <v>34</v>
      </c>
      <c r="M396" s="1">
        <v>45027</v>
      </c>
      <c r="N396">
        <f t="shared" si="40"/>
        <v>33.508196721311478</v>
      </c>
      <c r="O396" s="1">
        <f t="shared" si="41"/>
        <v>44005</v>
      </c>
      <c r="P396">
        <v>6</v>
      </c>
      <c r="Q396" s="3">
        <v>15</v>
      </c>
      <c r="R396" s="3">
        <v>7.8</v>
      </c>
      <c r="S396" t="s">
        <v>887</v>
      </c>
      <c r="T396" t="str">
        <f t="shared" si="42"/>
        <v>203/20/G</v>
      </c>
      <c r="U396">
        <v>14</v>
      </c>
      <c r="V396">
        <v>7</v>
      </c>
    </row>
    <row r="397" spans="1:22" x14ac:dyDescent="0.25">
      <c r="A397" t="s">
        <v>467</v>
      </c>
      <c r="B397" t="s">
        <v>237</v>
      </c>
      <c r="C397">
        <v>2967</v>
      </c>
      <c r="D397" t="s">
        <v>461</v>
      </c>
      <c r="E397">
        <v>2.25</v>
      </c>
      <c r="F397">
        <v>3150</v>
      </c>
      <c r="G397" t="s">
        <v>248</v>
      </c>
      <c r="H397">
        <v>207</v>
      </c>
      <c r="I397" t="s">
        <v>28</v>
      </c>
      <c r="J397" s="1">
        <v>44005</v>
      </c>
      <c r="K397">
        <v>48</v>
      </c>
      <c r="L397">
        <v>34</v>
      </c>
      <c r="M397" s="1">
        <v>45027</v>
      </c>
      <c r="N397">
        <f t="shared" si="40"/>
        <v>33.508196721311478</v>
      </c>
      <c r="O397" s="1">
        <f t="shared" si="41"/>
        <v>44005</v>
      </c>
      <c r="P397">
        <v>6</v>
      </c>
      <c r="Q397" s="3">
        <v>15</v>
      </c>
      <c r="R397" s="3">
        <v>7.8</v>
      </c>
      <c r="S397" t="s">
        <v>888</v>
      </c>
      <c r="T397" t="str">
        <f t="shared" si="42"/>
        <v>206/20/G</v>
      </c>
      <c r="U397">
        <v>14</v>
      </c>
      <c r="V397">
        <v>7</v>
      </c>
    </row>
    <row r="398" spans="1:22" x14ac:dyDescent="0.25">
      <c r="A398" t="s">
        <v>467</v>
      </c>
      <c r="B398" t="s">
        <v>237</v>
      </c>
      <c r="C398">
        <v>2967</v>
      </c>
      <c r="D398" t="s">
        <v>461</v>
      </c>
      <c r="E398">
        <v>2.25</v>
      </c>
      <c r="F398">
        <v>3150</v>
      </c>
      <c r="G398" t="s">
        <v>249</v>
      </c>
      <c r="H398">
        <v>43</v>
      </c>
      <c r="I398" t="s">
        <v>42</v>
      </c>
      <c r="J398" s="1">
        <v>44305</v>
      </c>
      <c r="K398">
        <v>48</v>
      </c>
      <c r="L398">
        <v>48</v>
      </c>
      <c r="M398" s="1">
        <v>45027</v>
      </c>
      <c r="N398">
        <f t="shared" si="40"/>
        <v>23.672131147540984</v>
      </c>
      <c r="O398" s="1">
        <f t="shared" si="41"/>
        <v>43563</v>
      </c>
      <c r="P398">
        <v>6</v>
      </c>
      <c r="Q398" s="3">
        <v>15</v>
      </c>
      <c r="R398" s="3">
        <v>7.8</v>
      </c>
      <c r="S398" t="s">
        <v>889</v>
      </c>
      <c r="T398" t="str">
        <f t="shared" si="42"/>
        <v>140/21/G</v>
      </c>
      <c r="U398">
        <v>14</v>
      </c>
      <c r="V398">
        <v>7</v>
      </c>
    </row>
    <row r="399" spans="1:22" x14ac:dyDescent="0.25">
      <c r="A399" t="s">
        <v>467</v>
      </c>
      <c r="B399" t="s">
        <v>237</v>
      </c>
      <c r="C399">
        <v>2967</v>
      </c>
      <c r="D399" t="s">
        <v>461</v>
      </c>
      <c r="E399">
        <v>2.25</v>
      </c>
      <c r="F399">
        <v>3150</v>
      </c>
      <c r="G399" t="s">
        <v>250</v>
      </c>
      <c r="H399">
        <v>23</v>
      </c>
      <c r="I399" t="s">
        <v>42</v>
      </c>
      <c r="J399" s="1">
        <v>44580</v>
      </c>
      <c r="K399">
        <v>48</v>
      </c>
      <c r="L399">
        <v>33</v>
      </c>
      <c r="M399" s="1">
        <v>45027</v>
      </c>
      <c r="N399">
        <f t="shared" si="40"/>
        <v>14.655737704918034</v>
      </c>
      <c r="O399" s="1">
        <f t="shared" si="41"/>
        <v>44020.5</v>
      </c>
      <c r="P399">
        <v>6</v>
      </c>
      <c r="Q399" s="3">
        <v>15</v>
      </c>
      <c r="R399" s="3">
        <v>7.8</v>
      </c>
      <c r="S399" t="s">
        <v>890</v>
      </c>
      <c r="T399" t="str">
        <f t="shared" si="42"/>
        <v>14/22/G</v>
      </c>
      <c r="U399">
        <v>14</v>
      </c>
      <c r="V399">
        <v>7</v>
      </c>
    </row>
    <row r="400" spans="1:22" x14ac:dyDescent="0.25">
      <c r="A400" t="s">
        <v>467</v>
      </c>
      <c r="B400" t="s">
        <v>237</v>
      </c>
      <c r="C400">
        <v>2967</v>
      </c>
      <c r="D400" t="s">
        <v>461</v>
      </c>
      <c r="E400">
        <v>2.25</v>
      </c>
      <c r="F400">
        <v>3150</v>
      </c>
      <c r="G400" t="s">
        <v>251</v>
      </c>
      <c r="H400">
        <v>235</v>
      </c>
      <c r="I400" t="s">
        <v>42</v>
      </c>
      <c r="J400" s="1">
        <v>44005</v>
      </c>
      <c r="K400">
        <v>48</v>
      </c>
      <c r="L400">
        <v>34</v>
      </c>
      <c r="M400" s="1">
        <v>45027</v>
      </c>
      <c r="N400">
        <f t="shared" si="40"/>
        <v>33.508196721311478</v>
      </c>
      <c r="O400" s="1">
        <f t="shared" si="41"/>
        <v>44005</v>
      </c>
      <c r="P400">
        <v>6</v>
      </c>
      <c r="Q400" s="3">
        <v>15</v>
      </c>
      <c r="R400" s="3">
        <v>7.8</v>
      </c>
      <c r="S400" t="s">
        <v>891</v>
      </c>
      <c r="T400" t="str">
        <f t="shared" si="42"/>
        <v>7/22/G</v>
      </c>
      <c r="U400">
        <v>14</v>
      </c>
      <c r="V400">
        <v>7</v>
      </c>
    </row>
    <row r="401" spans="1:22" x14ac:dyDescent="0.25">
      <c r="A401" t="s">
        <v>467</v>
      </c>
      <c r="B401" t="s">
        <v>237</v>
      </c>
      <c r="C401">
        <v>2967</v>
      </c>
      <c r="D401" t="s">
        <v>461</v>
      </c>
      <c r="E401">
        <v>2.25</v>
      </c>
      <c r="F401">
        <v>3150</v>
      </c>
      <c r="G401" t="s">
        <v>252</v>
      </c>
      <c r="H401">
        <v>255</v>
      </c>
      <c r="I401" t="s">
        <v>42</v>
      </c>
      <c r="J401" s="1">
        <v>44005</v>
      </c>
      <c r="K401">
        <v>48</v>
      </c>
      <c r="L401">
        <v>34</v>
      </c>
      <c r="M401" s="1">
        <v>45027</v>
      </c>
      <c r="N401">
        <f t="shared" si="40"/>
        <v>33.508196721311478</v>
      </c>
      <c r="O401" s="1">
        <f t="shared" si="41"/>
        <v>44005</v>
      </c>
      <c r="P401">
        <v>6</v>
      </c>
      <c r="Q401" s="3">
        <v>15</v>
      </c>
      <c r="R401" s="3">
        <v>7.8</v>
      </c>
      <c r="S401" t="s">
        <v>892</v>
      </c>
      <c r="T401" t="str">
        <f t="shared" si="42"/>
        <v>214/20/G</v>
      </c>
      <c r="U401">
        <v>14</v>
      </c>
      <c r="V401">
        <v>7</v>
      </c>
    </row>
    <row r="402" spans="1:22" x14ac:dyDescent="0.25">
      <c r="A402" t="s">
        <v>467</v>
      </c>
      <c r="B402" t="s">
        <v>362</v>
      </c>
      <c r="C402">
        <v>2454</v>
      </c>
      <c r="D402" t="s">
        <v>461</v>
      </c>
      <c r="E402">
        <v>2.25</v>
      </c>
      <c r="F402">
        <v>3150</v>
      </c>
      <c r="G402" t="s">
        <v>363</v>
      </c>
      <c r="H402">
        <v>244</v>
      </c>
      <c r="I402" t="s">
        <v>11</v>
      </c>
      <c r="J402" s="1">
        <v>43026</v>
      </c>
      <c r="K402">
        <v>90</v>
      </c>
      <c r="L402">
        <v>44</v>
      </c>
      <c r="M402" s="1">
        <v>44370</v>
      </c>
      <c r="N402">
        <f t="shared" si="40"/>
        <v>44.065573770491802</v>
      </c>
      <c r="O402" s="1">
        <f t="shared" si="41"/>
        <v>43026</v>
      </c>
      <c r="P402">
        <v>6</v>
      </c>
      <c r="Q402" s="3">
        <v>12</v>
      </c>
      <c r="R402" s="3">
        <v>7.8</v>
      </c>
      <c r="S402" t="s">
        <v>893</v>
      </c>
      <c r="T402" t="str">
        <f>S413</f>
        <v>68/19/G</v>
      </c>
      <c r="U402">
        <v>14</v>
      </c>
      <c r="V402">
        <v>7</v>
      </c>
    </row>
    <row r="403" spans="1:22" x14ac:dyDescent="0.25">
      <c r="A403" t="s">
        <v>467</v>
      </c>
      <c r="B403" t="s">
        <v>362</v>
      </c>
      <c r="C403">
        <v>2454</v>
      </c>
      <c r="D403" t="s">
        <v>461</v>
      </c>
      <c r="E403">
        <v>2.25</v>
      </c>
      <c r="F403">
        <v>3150</v>
      </c>
      <c r="G403" t="s">
        <v>364</v>
      </c>
      <c r="H403">
        <v>248</v>
      </c>
      <c r="I403" t="s">
        <v>11</v>
      </c>
      <c r="J403" s="1">
        <v>43026</v>
      </c>
      <c r="K403">
        <v>90</v>
      </c>
      <c r="L403">
        <v>44</v>
      </c>
      <c r="M403" s="1">
        <v>44370</v>
      </c>
      <c r="N403">
        <f t="shared" si="40"/>
        <v>44.065573770491802</v>
      </c>
      <c r="O403" s="1">
        <f t="shared" si="41"/>
        <v>43026</v>
      </c>
      <c r="P403">
        <v>6</v>
      </c>
      <c r="Q403" s="3">
        <v>12</v>
      </c>
      <c r="R403" s="3">
        <v>7.8</v>
      </c>
      <c r="S403" t="s">
        <v>894</v>
      </c>
      <c r="T403" t="str">
        <f>S402</f>
        <v>474/17/G</v>
      </c>
      <c r="U403">
        <v>14</v>
      </c>
      <c r="V403">
        <v>7</v>
      </c>
    </row>
    <row r="404" spans="1:22" x14ac:dyDescent="0.25">
      <c r="A404" t="s">
        <v>467</v>
      </c>
      <c r="B404" t="s">
        <v>362</v>
      </c>
      <c r="C404">
        <v>2454</v>
      </c>
      <c r="D404" t="s">
        <v>461</v>
      </c>
      <c r="E404">
        <v>2.25</v>
      </c>
      <c r="F404">
        <v>3150</v>
      </c>
      <c r="G404" t="s">
        <v>365</v>
      </c>
      <c r="H404">
        <v>248</v>
      </c>
      <c r="I404" t="s">
        <v>11</v>
      </c>
      <c r="J404" s="1">
        <v>43026</v>
      </c>
      <c r="K404">
        <v>90</v>
      </c>
      <c r="L404">
        <v>44</v>
      </c>
      <c r="M404" s="1">
        <v>44370</v>
      </c>
      <c r="N404">
        <f t="shared" si="40"/>
        <v>44.065573770491802</v>
      </c>
      <c r="O404" s="1">
        <f t="shared" si="41"/>
        <v>43026</v>
      </c>
      <c r="P404">
        <v>6</v>
      </c>
      <c r="Q404" s="3">
        <v>12</v>
      </c>
      <c r="R404" s="3">
        <v>7.8</v>
      </c>
      <c r="S404" t="s">
        <v>895</v>
      </c>
      <c r="T404" t="str">
        <f t="shared" ref="T404:T413" si="43">S403</f>
        <v>478/17/G</v>
      </c>
      <c r="U404">
        <v>14</v>
      </c>
      <c r="V404">
        <v>7</v>
      </c>
    </row>
    <row r="405" spans="1:22" x14ac:dyDescent="0.25">
      <c r="A405" t="s">
        <v>467</v>
      </c>
      <c r="B405" t="s">
        <v>362</v>
      </c>
      <c r="C405">
        <v>2454</v>
      </c>
      <c r="D405" t="s">
        <v>461</v>
      </c>
      <c r="E405">
        <v>2.25</v>
      </c>
      <c r="F405">
        <v>3150</v>
      </c>
      <c r="G405" t="s">
        <v>366</v>
      </c>
      <c r="H405">
        <v>242</v>
      </c>
      <c r="I405" t="s">
        <v>11</v>
      </c>
      <c r="J405" s="1">
        <v>43026</v>
      </c>
      <c r="K405">
        <v>90</v>
      </c>
      <c r="L405">
        <v>44</v>
      </c>
      <c r="M405" s="1">
        <v>44370</v>
      </c>
      <c r="N405">
        <f t="shared" si="40"/>
        <v>44.065573770491802</v>
      </c>
      <c r="O405" s="1">
        <f t="shared" si="41"/>
        <v>43026</v>
      </c>
      <c r="P405">
        <v>6</v>
      </c>
      <c r="Q405" s="3">
        <v>12</v>
      </c>
      <c r="R405" s="3">
        <v>7.8</v>
      </c>
      <c r="S405" t="s">
        <v>896</v>
      </c>
      <c r="T405" t="str">
        <f t="shared" si="43"/>
        <v>479/17/G</v>
      </c>
      <c r="U405">
        <v>14</v>
      </c>
      <c r="V405">
        <v>7</v>
      </c>
    </row>
    <row r="406" spans="1:22" x14ac:dyDescent="0.25">
      <c r="A406" t="s">
        <v>467</v>
      </c>
      <c r="B406" t="s">
        <v>362</v>
      </c>
      <c r="C406">
        <v>2454</v>
      </c>
      <c r="D406" t="s">
        <v>461</v>
      </c>
      <c r="E406">
        <v>2.25</v>
      </c>
      <c r="F406">
        <v>3150</v>
      </c>
      <c r="G406" t="s">
        <v>367</v>
      </c>
      <c r="H406">
        <v>41</v>
      </c>
      <c r="I406" t="s">
        <v>42</v>
      </c>
      <c r="J406" s="1">
        <v>43626</v>
      </c>
      <c r="K406">
        <v>72</v>
      </c>
      <c r="L406">
        <v>33</v>
      </c>
      <c r="M406" s="1">
        <v>44370</v>
      </c>
      <c r="N406">
        <f t="shared" si="40"/>
        <v>24.393442622950818</v>
      </c>
      <c r="O406" s="1">
        <f t="shared" si="41"/>
        <v>43363.5</v>
      </c>
      <c r="P406">
        <v>6</v>
      </c>
      <c r="Q406" s="3">
        <v>12</v>
      </c>
      <c r="R406" s="3">
        <v>7.8</v>
      </c>
      <c r="S406" t="s">
        <v>897</v>
      </c>
      <c r="T406" t="str">
        <f t="shared" si="43"/>
        <v>272/19/G</v>
      </c>
      <c r="U406">
        <v>14</v>
      </c>
      <c r="V406">
        <v>7</v>
      </c>
    </row>
    <row r="407" spans="1:22" x14ac:dyDescent="0.25">
      <c r="A407" t="s">
        <v>467</v>
      </c>
      <c r="B407" t="s">
        <v>362</v>
      </c>
      <c r="C407">
        <v>2454</v>
      </c>
      <c r="D407" t="s">
        <v>461</v>
      </c>
      <c r="E407">
        <v>2.25</v>
      </c>
      <c r="F407">
        <v>3150</v>
      </c>
      <c r="G407" t="s">
        <v>368</v>
      </c>
      <c r="H407">
        <v>77</v>
      </c>
      <c r="I407" t="s">
        <v>42</v>
      </c>
      <c r="J407" s="1">
        <v>43720</v>
      </c>
      <c r="K407">
        <v>72</v>
      </c>
      <c r="L407">
        <v>21</v>
      </c>
      <c r="M407" s="1">
        <v>44370</v>
      </c>
      <c r="N407">
        <f t="shared" si="40"/>
        <v>21.311475409836067</v>
      </c>
      <c r="O407" s="1">
        <f t="shared" si="41"/>
        <v>43720</v>
      </c>
      <c r="P407">
        <v>6</v>
      </c>
      <c r="Q407" s="3">
        <v>12</v>
      </c>
      <c r="R407" s="3">
        <v>7.8</v>
      </c>
      <c r="S407" t="s">
        <v>898</v>
      </c>
      <c r="T407" t="str">
        <f t="shared" si="43"/>
        <v>412/19/G</v>
      </c>
      <c r="U407">
        <v>14</v>
      </c>
      <c r="V407">
        <v>7</v>
      </c>
    </row>
    <row r="408" spans="1:22" x14ac:dyDescent="0.25">
      <c r="A408" t="s">
        <v>467</v>
      </c>
      <c r="B408" t="s">
        <v>362</v>
      </c>
      <c r="C408">
        <v>2454</v>
      </c>
      <c r="D408" t="s">
        <v>461</v>
      </c>
      <c r="E408">
        <v>2.25</v>
      </c>
      <c r="F408">
        <v>3150</v>
      </c>
      <c r="G408" t="s">
        <v>369</v>
      </c>
      <c r="H408">
        <v>233</v>
      </c>
      <c r="I408" t="s">
        <v>42</v>
      </c>
      <c r="J408" s="1">
        <v>43070</v>
      </c>
      <c r="K408">
        <v>72</v>
      </c>
      <c r="L408">
        <v>58</v>
      </c>
      <c r="M408" s="1">
        <v>44370</v>
      </c>
      <c r="N408">
        <f t="shared" si="40"/>
        <v>42.622950819672134</v>
      </c>
      <c r="O408" s="1">
        <f t="shared" si="41"/>
        <v>42601</v>
      </c>
      <c r="P408">
        <v>6</v>
      </c>
      <c r="Q408" s="3">
        <v>12</v>
      </c>
      <c r="R408" s="3">
        <v>7.8</v>
      </c>
      <c r="S408" t="s">
        <v>899</v>
      </c>
      <c r="T408" t="str">
        <f t="shared" si="43"/>
        <v>414/19/G</v>
      </c>
      <c r="U408">
        <v>14</v>
      </c>
      <c r="V408">
        <v>7</v>
      </c>
    </row>
    <row r="409" spans="1:22" x14ac:dyDescent="0.25">
      <c r="A409" t="s">
        <v>467</v>
      </c>
      <c r="B409" t="s">
        <v>362</v>
      </c>
      <c r="C409">
        <v>2454</v>
      </c>
      <c r="D409" t="s">
        <v>461</v>
      </c>
      <c r="E409">
        <v>2.25</v>
      </c>
      <c r="F409">
        <v>3150</v>
      </c>
      <c r="G409" t="s">
        <v>370</v>
      </c>
      <c r="H409">
        <v>227</v>
      </c>
      <c r="I409" t="s">
        <v>42</v>
      </c>
      <c r="J409" s="1">
        <v>43388</v>
      </c>
      <c r="K409">
        <v>72</v>
      </c>
      <c r="L409">
        <v>32</v>
      </c>
      <c r="M409" s="1">
        <v>44370</v>
      </c>
      <c r="N409">
        <f t="shared" si="40"/>
        <v>32.196721311475407</v>
      </c>
      <c r="O409" s="1">
        <f t="shared" si="41"/>
        <v>43388</v>
      </c>
      <c r="P409">
        <v>6</v>
      </c>
      <c r="Q409" s="3">
        <v>12</v>
      </c>
      <c r="R409" s="3">
        <v>7.8</v>
      </c>
      <c r="S409" t="s">
        <v>900</v>
      </c>
      <c r="T409" t="str">
        <f t="shared" si="43"/>
        <v>500/18/G</v>
      </c>
      <c r="U409">
        <v>14</v>
      </c>
      <c r="V409">
        <v>7</v>
      </c>
    </row>
    <row r="410" spans="1:22" x14ac:dyDescent="0.25">
      <c r="A410" t="s">
        <v>467</v>
      </c>
      <c r="B410" t="s">
        <v>362</v>
      </c>
      <c r="C410">
        <v>2454</v>
      </c>
      <c r="D410" t="s">
        <v>461</v>
      </c>
      <c r="E410">
        <v>2.25</v>
      </c>
      <c r="F410">
        <v>3150</v>
      </c>
      <c r="G410" t="s">
        <v>371</v>
      </c>
      <c r="H410">
        <v>184</v>
      </c>
      <c r="I410" t="s">
        <v>42</v>
      </c>
      <c r="J410" s="1">
        <v>43388</v>
      </c>
      <c r="K410">
        <v>72</v>
      </c>
      <c r="L410">
        <v>32</v>
      </c>
      <c r="M410" s="1">
        <v>44370</v>
      </c>
      <c r="N410">
        <f t="shared" si="40"/>
        <v>32.196721311475407</v>
      </c>
      <c r="O410" s="1">
        <f t="shared" si="41"/>
        <v>43388</v>
      </c>
      <c r="P410">
        <v>6</v>
      </c>
      <c r="Q410" s="3">
        <v>12</v>
      </c>
      <c r="R410" s="3">
        <v>7.8</v>
      </c>
      <c r="S410" t="s">
        <v>901</v>
      </c>
      <c r="T410" t="str">
        <f t="shared" si="43"/>
        <v>505/18/G</v>
      </c>
      <c r="U410">
        <v>14</v>
      </c>
      <c r="V410">
        <v>7</v>
      </c>
    </row>
    <row r="411" spans="1:22" x14ac:dyDescent="0.25">
      <c r="A411" t="s">
        <v>467</v>
      </c>
      <c r="B411" t="s">
        <v>362</v>
      </c>
      <c r="C411">
        <v>2454</v>
      </c>
      <c r="D411" t="s">
        <v>461</v>
      </c>
      <c r="E411">
        <v>2.25</v>
      </c>
      <c r="F411">
        <v>3150</v>
      </c>
      <c r="G411" t="s">
        <v>372</v>
      </c>
      <c r="H411">
        <v>235</v>
      </c>
      <c r="I411" t="s">
        <v>11</v>
      </c>
      <c r="J411" s="1">
        <v>43857</v>
      </c>
      <c r="K411">
        <v>90</v>
      </c>
      <c r="L411">
        <v>43</v>
      </c>
      <c r="M411" s="1">
        <v>44370</v>
      </c>
      <c r="N411">
        <f t="shared" si="40"/>
        <v>16.819672131147541</v>
      </c>
      <c r="O411" s="1">
        <f t="shared" si="41"/>
        <v>43058.5</v>
      </c>
      <c r="P411">
        <v>6</v>
      </c>
      <c r="Q411" s="3">
        <v>12</v>
      </c>
      <c r="R411" s="3">
        <v>7.8</v>
      </c>
      <c r="S411" t="s">
        <v>902</v>
      </c>
      <c r="T411" t="str">
        <f t="shared" si="43"/>
        <v>37/20/G</v>
      </c>
      <c r="U411">
        <v>14</v>
      </c>
      <c r="V411">
        <v>7</v>
      </c>
    </row>
    <row r="412" spans="1:22" x14ac:dyDescent="0.25">
      <c r="A412" t="s">
        <v>467</v>
      </c>
      <c r="B412" t="s">
        <v>362</v>
      </c>
      <c r="C412">
        <v>2454</v>
      </c>
      <c r="D412" t="s">
        <v>461</v>
      </c>
      <c r="E412">
        <v>2.25</v>
      </c>
      <c r="F412">
        <v>3150</v>
      </c>
      <c r="G412" t="s">
        <v>373</v>
      </c>
      <c r="H412">
        <v>237</v>
      </c>
      <c r="I412" t="s">
        <v>11</v>
      </c>
      <c r="J412" s="1">
        <v>43263</v>
      </c>
      <c r="K412">
        <v>90</v>
      </c>
      <c r="L412">
        <v>46</v>
      </c>
      <c r="M412" s="1">
        <v>44370</v>
      </c>
      <c r="N412">
        <f t="shared" si="40"/>
        <v>36.295081967213115</v>
      </c>
      <c r="O412" s="1">
        <f t="shared" si="41"/>
        <v>42967</v>
      </c>
      <c r="P412">
        <v>6</v>
      </c>
      <c r="Q412" s="3">
        <v>12</v>
      </c>
      <c r="R412" s="3">
        <v>7.8</v>
      </c>
      <c r="S412" t="s">
        <v>903</v>
      </c>
      <c r="T412" t="str">
        <f t="shared" si="43"/>
        <v>38/20/G</v>
      </c>
      <c r="U412">
        <v>14</v>
      </c>
      <c r="V412">
        <v>7</v>
      </c>
    </row>
    <row r="413" spans="1:22" x14ac:dyDescent="0.25">
      <c r="A413" t="s">
        <v>467</v>
      </c>
      <c r="B413" t="s">
        <v>362</v>
      </c>
      <c r="C413">
        <v>2454</v>
      </c>
      <c r="D413" t="s">
        <v>461</v>
      </c>
      <c r="E413">
        <v>2.25</v>
      </c>
      <c r="F413">
        <v>3150</v>
      </c>
      <c r="G413" t="s">
        <v>374</v>
      </c>
      <c r="H413">
        <v>238</v>
      </c>
      <c r="I413" t="s">
        <v>11</v>
      </c>
      <c r="J413" s="1">
        <v>43511</v>
      </c>
      <c r="K413">
        <v>90</v>
      </c>
      <c r="L413">
        <v>47</v>
      </c>
      <c r="M413" s="1">
        <v>44370</v>
      </c>
      <c r="N413">
        <f t="shared" si="40"/>
        <v>28.16393442622951</v>
      </c>
      <c r="O413" s="1">
        <f t="shared" si="41"/>
        <v>42936.5</v>
      </c>
      <c r="P413">
        <v>6</v>
      </c>
      <c r="Q413" s="3">
        <v>12</v>
      </c>
      <c r="R413" s="3">
        <v>7.8</v>
      </c>
      <c r="S413" t="s">
        <v>904</v>
      </c>
      <c r="T413" t="str">
        <f t="shared" si="43"/>
        <v>73/19/G</v>
      </c>
      <c r="U413">
        <v>14</v>
      </c>
      <c r="V413">
        <v>7</v>
      </c>
    </row>
    <row r="414" spans="1:22" x14ac:dyDescent="0.25">
      <c r="A414" t="s">
        <v>467</v>
      </c>
      <c r="B414" t="s">
        <v>144</v>
      </c>
      <c r="C414">
        <v>2897</v>
      </c>
      <c r="D414" t="s">
        <v>461</v>
      </c>
      <c r="E414">
        <v>2.25</v>
      </c>
      <c r="F414">
        <v>3150</v>
      </c>
      <c r="G414" t="s">
        <v>145</v>
      </c>
      <c r="H414">
        <v>242</v>
      </c>
      <c r="I414" t="s">
        <v>11</v>
      </c>
      <c r="J414" s="1">
        <v>43503</v>
      </c>
      <c r="K414">
        <v>90</v>
      </c>
      <c r="L414">
        <v>50</v>
      </c>
      <c r="M414" s="1">
        <v>44964</v>
      </c>
      <c r="N414">
        <f t="shared" si="40"/>
        <v>47.901639344262293</v>
      </c>
      <c r="O414" s="1">
        <f t="shared" si="41"/>
        <v>43439</v>
      </c>
      <c r="P414">
        <v>6</v>
      </c>
      <c r="Q414" s="3">
        <v>13</v>
      </c>
      <c r="R414" s="3">
        <v>7.8</v>
      </c>
      <c r="S414" t="s">
        <v>905</v>
      </c>
      <c r="T414" t="str">
        <f>S425</f>
        <v>58/19/G</v>
      </c>
      <c r="U414">
        <v>14</v>
      </c>
      <c r="V414">
        <v>7</v>
      </c>
    </row>
    <row r="415" spans="1:22" x14ac:dyDescent="0.25">
      <c r="A415" t="s">
        <v>467</v>
      </c>
      <c r="B415" t="s">
        <v>144</v>
      </c>
      <c r="C415">
        <v>2897</v>
      </c>
      <c r="D415" t="s">
        <v>461</v>
      </c>
      <c r="E415">
        <v>2.25</v>
      </c>
      <c r="F415">
        <v>3150</v>
      </c>
      <c r="G415" t="s">
        <v>146</v>
      </c>
      <c r="H415">
        <v>233</v>
      </c>
      <c r="I415" t="s">
        <v>11</v>
      </c>
      <c r="J415" s="1">
        <v>43560</v>
      </c>
      <c r="K415">
        <v>90</v>
      </c>
      <c r="L415">
        <v>85</v>
      </c>
      <c r="M415" s="1">
        <v>44964</v>
      </c>
      <c r="N415">
        <f t="shared" si="40"/>
        <v>46.032786885245905</v>
      </c>
      <c r="O415" s="1">
        <f t="shared" si="41"/>
        <v>42371.5</v>
      </c>
      <c r="P415">
        <v>6</v>
      </c>
      <c r="Q415" s="3">
        <v>13</v>
      </c>
      <c r="R415" s="3">
        <v>7.8</v>
      </c>
      <c r="S415" t="s">
        <v>906</v>
      </c>
      <c r="T415" t="str">
        <f>S414</f>
        <v>162/19/G</v>
      </c>
      <c r="U415">
        <v>14</v>
      </c>
      <c r="V415">
        <v>7</v>
      </c>
    </row>
    <row r="416" spans="1:22" x14ac:dyDescent="0.25">
      <c r="A416" t="s">
        <v>467</v>
      </c>
      <c r="B416" t="s">
        <v>144</v>
      </c>
      <c r="C416">
        <v>2897</v>
      </c>
      <c r="D416" t="s">
        <v>461</v>
      </c>
      <c r="E416">
        <v>2.25</v>
      </c>
      <c r="F416">
        <v>3150</v>
      </c>
      <c r="G416" t="s">
        <v>147</v>
      </c>
      <c r="H416">
        <v>241</v>
      </c>
      <c r="I416" t="s">
        <v>11</v>
      </c>
      <c r="J416" s="1">
        <v>43560</v>
      </c>
      <c r="K416">
        <v>90</v>
      </c>
      <c r="L416">
        <v>85</v>
      </c>
      <c r="M416" s="1">
        <v>44964</v>
      </c>
      <c r="N416">
        <f t="shared" si="40"/>
        <v>46.032786885245905</v>
      </c>
      <c r="O416" s="1">
        <f t="shared" si="41"/>
        <v>42371.5</v>
      </c>
      <c r="P416">
        <v>6</v>
      </c>
      <c r="Q416" s="3">
        <v>13</v>
      </c>
      <c r="R416" s="3">
        <v>7.8</v>
      </c>
      <c r="S416" t="s">
        <v>907</v>
      </c>
      <c r="T416" t="str">
        <f t="shared" ref="T416:T425" si="44">S415</f>
        <v>472/21/G</v>
      </c>
      <c r="U416">
        <v>14</v>
      </c>
      <c r="V416">
        <v>7</v>
      </c>
    </row>
    <row r="417" spans="1:22" x14ac:dyDescent="0.25">
      <c r="A417" t="s">
        <v>467</v>
      </c>
      <c r="B417" t="s">
        <v>144</v>
      </c>
      <c r="C417">
        <v>2897</v>
      </c>
      <c r="D417" t="s">
        <v>461</v>
      </c>
      <c r="E417">
        <v>2.25</v>
      </c>
      <c r="F417">
        <v>3150</v>
      </c>
      <c r="G417" t="s">
        <v>148</v>
      </c>
      <c r="H417">
        <v>242</v>
      </c>
      <c r="I417" t="s">
        <v>11</v>
      </c>
      <c r="J417" s="1">
        <v>43873</v>
      </c>
      <c r="K417">
        <v>90</v>
      </c>
      <c r="L417">
        <v>49</v>
      </c>
      <c r="M417" s="1">
        <v>44964</v>
      </c>
      <c r="N417">
        <f t="shared" si="40"/>
        <v>35.770491803278688</v>
      </c>
      <c r="O417" s="1">
        <f t="shared" si="41"/>
        <v>43469.5</v>
      </c>
      <c r="P417">
        <v>6</v>
      </c>
      <c r="Q417" s="3">
        <v>13</v>
      </c>
      <c r="R417" s="3">
        <v>7.8</v>
      </c>
      <c r="S417" t="s">
        <v>908</v>
      </c>
      <c r="T417" t="str">
        <f t="shared" si="44"/>
        <v>63/20/G</v>
      </c>
      <c r="U417">
        <v>14</v>
      </c>
      <c r="V417">
        <v>7</v>
      </c>
    </row>
    <row r="418" spans="1:22" x14ac:dyDescent="0.25">
      <c r="A418" t="s">
        <v>467</v>
      </c>
      <c r="B418" t="s">
        <v>144</v>
      </c>
      <c r="C418">
        <v>2897</v>
      </c>
      <c r="D418" t="s">
        <v>461</v>
      </c>
      <c r="E418">
        <v>2.25</v>
      </c>
      <c r="F418">
        <v>3150</v>
      </c>
      <c r="G418" t="s">
        <v>149</v>
      </c>
      <c r="H418">
        <v>213</v>
      </c>
      <c r="I418" t="s">
        <v>11</v>
      </c>
      <c r="J418" s="1">
        <v>43494</v>
      </c>
      <c r="K418">
        <v>90</v>
      </c>
      <c r="L418">
        <v>49</v>
      </c>
      <c r="M418" s="1">
        <v>44964</v>
      </c>
      <c r="N418">
        <f t="shared" si="40"/>
        <v>48.196721311475407</v>
      </c>
      <c r="O418" s="1">
        <f t="shared" si="41"/>
        <v>43494</v>
      </c>
      <c r="P418">
        <v>6</v>
      </c>
      <c r="Q418" s="3">
        <v>13</v>
      </c>
      <c r="R418" s="3">
        <v>7.8</v>
      </c>
      <c r="S418" t="s">
        <v>909</v>
      </c>
      <c r="T418" t="str">
        <f t="shared" si="44"/>
        <v>62/20/G</v>
      </c>
      <c r="U418">
        <v>14</v>
      </c>
      <c r="V418">
        <v>7</v>
      </c>
    </row>
    <row r="419" spans="1:22" x14ac:dyDescent="0.25">
      <c r="A419" t="s">
        <v>467</v>
      </c>
      <c r="B419" t="s">
        <v>144</v>
      </c>
      <c r="C419">
        <v>2897</v>
      </c>
      <c r="D419" t="s">
        <v>461</v>
      </c>
      <c r="E419">
        <v>2.25</v>
      </c>
      <c r="F419">
        <v>3150</v>
      </c>
      <c r="G419" t="s">
        <v>150</v>
      </c>
      <c r="H419">
        <v>247</v>
      </c>
      <c r="I419" t="s">
        <v>11</v>
      </c>
      <c r="J419" s="1">
        <v>43494</v>
      </c>
      <c r="K419">
        <v>90</v>
      </c>
      <c r="L419">
        <v>49</v>
      </c>
      <c r="M419" s="1">
        <v>44964</v>
      </c>
      <c r="N419">
        <f t="shared" si="40"/>
        <v>48.196721311475407</v>
      </c>
      <c r="O419" s="1">
        <f t="shared" si="41"/>
        <v>43494</v>
      </c>
      <c r="P419">
        <v>6</v>
      </c>
      <c r="Q419" s="3">
        <v>13</v>
      </c>
      <c r="R419" s="3">
        <v>7.8</v>
      </c>
      <c r="S419" t="s">
        <v>910</v>
      </c>
      <c r="T419" t="str">
        <f t="shared" si="44"/>
        <v>20/19/G</v>
      </c>
      <c r="U419">
        <v>14</v>
      </c>
      <c r="V419">
        <v>7</v>
      </c>
    </row>
    <row r="420" spans="1:22" x14ac:dyDescent="0.25">
      <c r="A420" t="s">
        <v>467</v>
      </c>
      <c r="B420" t="s">
        <v>144</v>
      </c>
      <c r="C420">
        <v>2897</v>
      </c>
      <c r="D420" t="s">
        <v>461</v>
      </c>
      <c r="E420">
        <v>2.25</v>
      </c>
      <c r="F420">
        <v>3150</v>
      </c>
      <c r="G420" t="s">
        <v>151</v>
      </c>
      <c r="H420">
        <v>253</v>
      </c>
      <c r="I420" t="s">
        <v>11</v>
      </c>
      <c r="J420" s="1">
        <v>43494</v>
      </c>
      <c r="K420">
        <v>90</v>
      </c>
      <c r="L420">
        <v>49</v>
      </c>
      <c r="M420" s="1">
        <v>44964</v>
      </c>
      <c r="N420">
        <f t="shared" si="40"/>
        <v>48.196721311475407</v>
      </c>
      <c r="O420" s="1">
        <f t="shared" si="41"/>
        <v>43494</v>
      </c>
      <c r="P420">
        <v>6</v>
      </c>
      <c r="Q420" s="3">
        <v>13</v>
      </c>
      <c r="R420" s="3">
        <v>7.8</v>
      </c>
      <c r="S420" t="s">
        <v>911</v>
      </c>
      <c r="T420" t="str">
        <f t="shared" si="44"/>
        <v>642/18/G</v>
      </c>
      <c r="U420">
        <v>14</v>
      </c>
      <c r="V420">
        <v>7</v>
      </c>
    </row>
    <row r="421" spans="1:22" x14ac:dyDescent="0.25">
      <c r="A421" t="s">
        <v>467</v>
      </c>
      <c r="B421" t="s">
        <v>144</v>
      </c>
      <c r="C421">
        <v>2897</v>
      </c>
      <c r="D421" t="s">
        <v>461</v>
      </c>
      <c r="E421">
        <v>2.25</v>
      </c>
      <c r="F421">
        <v>3150</v>
      </c>
      <c r="G421" t="s">
        <v>152</v>
      </c>
      <c r="H421">
        <v>246</v>
      </c>
      <c r="I421" t="s">
        <v>11</v>
      </c>
      <c r="J421" s="1">
        <v>43494</v>
      </c>
      <c r="K421">
        <v>90</v>
      </c>
      <c r="L421">
        <v>49</v>
      </c>
      <c r="M421" s="1">
        <v>44964</v>
      </c>
      <c r="N421">
        <f t="shared" si="40"/>
        <v>48.196721311475407</v>
      </c>
      <c r="O421" s="1">
        <f t="shared" si="41"/>
        <v>43494</v>
      </c>
      <c r="P421">
        <v>6</v>
      </c>
      <c r="Q421" s="3">
        <v>13</v>
      </c>
      <c r="R421" s="3">
        <v>7.8</v>
      </c>
      <c r="S421" t="s">
        <v>912</v>
      </c>
      <c r="T421" t="str">
        <f t="shared" si="44"/>
        <v>635/18/G</v>
      </c>
      <c r="U421">
        <v>14</v>
      </c>
      <c r="V421">
        <v>7</v>
      </c>
    </row>
    <row r="422" spans="1:22" x14ac:dyDescent="0.25">
      <c r="A422" t="s">
        <v>467</v>
      </c>
      <c r="B422" t="s">
        <v>144</v>
      </c>
      <c r="C422">
        <v>2897</v>
      </c>
      <c r="D422" t="s">
        <v>461</v>
      </c>
      <c r="E422">
        <v>2.25</v>
      </c>
      <c r="F422">
        <v>3150</v>
      </c>
      <c r="G422" t="s">
        <v>153</v>
      </c>
      <c r="H422">
        <v>245</v>
      </c>
      <c r="I422" t="s">
        <v>11</v>
      </c>
      <c r="J422" s="1">
        <v>44529</v>
      </c>
      <c r="K422">
        <v>90</v>
      </c>
      <c r="L422">
        <v>78</v>
      </c>
      <c r="M422" s="1">
        <v>44964</v>
      </c>
      <c r="N422">
        <f t="shared" si="40"/>
        <v>14.262295081967213</v>
      </c>
      <c r="O422" s="1">
        <f t="shared" si="41"/>
        <v>42585</v>
      </c>
      <c r="P422">
        <v>6</v>
      </c>
      <c r="Q422" s="3">
        <v>13</v>
      </c>
      <c r="R422" s="3">
        <v>7.8</v>
      </c>
      <c r="S422" t="s">
        <v>913</v>
      </c>
      <c r="T422" t="str">
        <f t="shared" si="44"/>
        <v>469/21/G</v>
      </c>
      <c r="U422">
        <v>14</v>
      </c>
      <c r="V422">
        <v>7</v>
      </c>
    </row>
    <row r="423" spans="1:22" x14ac:dyDescent="0.25">
      <c r="A423" t="s">
        <v>467</v>
      </c>
      <c r="B423" t="s">
        <v>144</v>
      </c>
      <c r="C423">
        <v>2897</v>
      </c>
      <c r="D423" t="s">
        <v>461</v>
      </c>
      <c r="E423">
        <v>2.25</v>
      </c>
      <c r="F423">
        <v>3150</v>
      </c>
      <c r="G423" t="s">
        <v>154</v>
      </c>
      <c r="H423">
        <v>246</v>
      </c>
      <c r="I423" t="s">
        <v>11</v>
      </c>
      <c r="J423" s="1">
        <v>43494</v>
      </c>
      <c r="K423">
        <v>90</v>
      </c>
      <c r="L423">
        <v>49</v>
      </c>
      <c r="M423" s="1">
        <v>44964</v>
      </c>
      <c r="N423">
        <f t="shared" si="40"/>
        <v>48.196721311475407</v>
      </c>
      <c r="O423" s="1">
        <f t="shared" si="41"/>
        <v>43494</v>
      </c>
      <c r="P423">
        <v>6</v>
      </c>
      <c r="Q423" s="3">
        <v>13</v>
      </c>
      <c r="R423" s="3">
        <v>7.8</v>
      </c>
      <c r="S423" t="s">
        <v>914</v>
      </c>
      <c r="T423" t="str">
        <f t="shared" si="44"/>
        <v>477/21/G</v>
      </c>
      <c r="U423">
        <v>14</v>
      </c>
      <c r="V423">
        <v>7</v>
      </c>
    </row>
    <row r="424" spans="1:22" x14ac:dyDescent="0.25">
      <c r="A424" t="s">
        <v>467</v>
      </c>
      <c r="B424" t="s">
        <v>144</v>
      </c>
      <c r="C424">
        <v>2897</v>
      </c>
      <c r="D424" t="s">
        <v>461</v>
      </c>
      <c r="E424">
        <v>2.25</v>
      </c>
      <c r="F424">
        <v>3150</v>
      </c>
      <c r="G424" t="s">
        <v>155</v>
      </c>
      <c r="H424">
        <v>246</v>
      </c>
      <c r="I424" t="s">
        <v>11</v>
      </c>
      <c r="J424" s="1">
        <v>43494</v>
      </c>
      <c r="K424">
        <v>90</v>
      </c>
      <c r="L424">
        <v>49</v>
      </c>
      <c r="M424" s="1">
        <v>44964</v>
      </c>
      <c r="N424">
        <f t="shared" si="40"/>
        <v>48.196721311475407</v>
      </c>
      <c r="O424" s="1">
        <f t="shared" si="41"/>
        <v>43494</v>
      </c>
      <c r="P424">
        <v>6</v>
      </c>
      <c r="Q424" s="3">
        <v>13</v>
      </c>
      <c r="R424" s="3">
        <v>7.8</v>
      </c>
      <c r="S424" t="s">
        <v>915</v>
      </c>
      <c r="T424" t="str">
        <f t="shared" si="44"/>
        <v>643/18/G</v>
      </c>
      <c r="U424">
        <v>14</v>
      </c>
      <c r="V424">
        <v>7</v>
      </c>
    </row>
    <row r="425" spans="1:22" x14ac:dyDescent="0.25">
      <c r="A425" t="s">
        <v>467</v>
      </c>
      <c r="B425" t="s">
        <v>144</v>
      </c>
      <c r="C425">
        <v>2897</v>
      </c>
      <c r="D425" t="s">
        <v>461</v>
      </c>
      <c r="E425">
        <v>2.25</v>
      </c>
      <c r="F425">
        <v>3150</v>
      </c>
      <c r="G425" t="s">
        <v>156</v>
      </c>
      <c r="H425">
        <v>243</v>
      </c>
      <c r="I425" t="s">
        <v>11</v>
      </c>
      <c r="J425" s="1">
        <v>43503</v>
      </c>
      <c r="K425">
        <v>90</v>
      </c>
      <c r="L425">
        <v>50</v>
      </c>
      <c r="M425" s="1">
        <v>44964</v>
      </c>
      <c r="N425">
        <f t="shared" si="40"/>
        <v>47.901639344262293</v>
      </c>
      <c r="O425" s="1">
        <f t="shared" si="41"/>
        <v>43439</v>
      </c>
      <c r="P425">
        <v>6</v>
      </c>
      <c r="Q425" s="3">
        <v>13</v>
      </c>
      <c r="R425" s="3">
        <v>7.8</v>
      </c>
      <c r="S425" t="s">
        <v>916</v>
      </c>
      <c r="T425" t="str">
        <f t="shared" si="44"/>
        <v>60/19/G</v>
      </c>
      <c r="U425">
        <v>14</v>
      </c>
      <c r="V425">
        <v>7</v>
      </c>
    </row>
    <row r="426" spans="1:22" x14ac:dyDescent="0.25">
      <c r="A426" t="s">
        <v>467</v>
      </c>
      <c r="B426" t="s">
        <v>468</v>
      </c>
      <c r="C426">
        <v>1250</v>
      </c>
      <c r="D426" t="s">
        <v>461</v>
      </c>
      <c r="E426">
        <v>2.25</v>
      </c>
      <c r="F426">
        <v>3150</v>
      </c>
      <c r="G426" t="s">
        <v>469</v>
      </c>
      <c r="H426">
        <v>224</v>
      </c>
      <c r="I426" t="s">
        <v>42</v>
      </c>
      <c r="J426" s="1">
        <v>44106</v>
      </c>
      <c r="K426">
        <v>48</v>
      </c>
      <c r="L426">
        <v>37</v>
      </c>
      <c r="M426" s="1">
        <v>45236</v>
      </c>
      <c r="N426">
        <f t="shared" si="40"/>
        <v>37.049180327868854</v>
      </c>
      <c r="O426" s="1">
        <f t="shared" si="41"/>
        <v>44106</v>
      </c>
      <c r="P426">
        <v>6</v>
      </c>
      <c r="Q426" s="3">
        <v>7</v>
      </c>
      <c r="R426" s="3">
        <v>7.8</v>
      </c>
      <c r="S426" t="s">
        <v>917</v>
      </c>
      <c r="T426" t="str">
        <f>S432</f>
        <v>397/20/G</v>
      </c>
      <c r="U426">
        <v>14</v>
      </c>
      <c r="V426">
        <v>7</v>
      </c>
    </row>
    <row r="427" spans="1:22" x14ac:dyDescent="0.25">
      <c r="A427" t="s">
        <v>467</v>
      </c>
      <c r="B427" t="s">
        <v>468</v>
      </c>
      <c r="C427">
        <v>1250</v>
      </c>
      <c r="D427" t="s">
        <v>461</v>
      </c>
      <c r="E427">
        <v>2.25</v>
      </c>
      <c r="F427">
        <v>3150</v>
      </c>
      <c r="G427" t="s">
        <v>470</v>
      </c>
      <c r="H427">
        <v>14</v>
      </c>
      <c r="I427" t="s">
        <v>42</v>
      </c>
      <c r="J427" s="1">
        <v>44106</v>
      </c>
      <c r="K427">
        <v>48</v>
      </c>
      <c r="L427">
        <v>37</v>
      </c>
      <c r="M427" s="1">
        <v>45236</v>
      </c>
      <c r="N427">
        <f t="shared" si="40"/>
        <v>37.049180327868854</v>
      </c>
      <c r="O427" s="1">
        <f t="shared" si="41"/>
        <v>44106</v>
      </c>
      <c r="P427">
        <v>6</v>
      </c>
      <c r="Q427" s="3">
        <v>7</v>
      </c>
      <c r="R427" s="3">
        <v>7.8</v>
      </c>
      <c r="S427" t="s">
        <v>918</v>
      </c>
      <c r="T427" t="str">
        <f>S426</f>
        <v>192/22/G</v>
      </c>
      <c r="U427">
        <v>14</v>
      </c>
      <c r="V427">
        <v>7</v>
      </c>
    </row>
    <row r="428" spans="1:22" x14ac:dyDescent="0.25">
      <c r="A428" t="s">
        <v>467</v>
      </c>
      <c r="B428" t="s">
        <v>468</v>
      </c>
      <c r="C428">
        <v>1250</v>
      </c>
      <c r="D428" t="s">
        <v>461</v>
      </c>
      <c r="E428">
        <v>2.25</v>
      </c>
      <c r="F428">
        <v>3150</v>
      </c>
      <c r="G428" t="s">
        <v>471</v>
      </c>
      <c r="H428">
        <v>217</v>
      </c>
      <c r="I428" t="s">
        <v>28</v>
      </c>
      <c r="J428" s="1">
        <v>44106</v>
      </c>
      <c r="K428">
        <v>48</v>
      </c>
      <c r="L428">
        <v>37</v>
      </c>
      <c r="M428" s="1">
        <v>45236</v>
      </c>
      <c r="N428">
        <f t="shared" ref="N428:N432" si="45">(M428-J428)/30.5</f>
        <v>37.049180327868854</v>
      </c>
      <c r="O428" s="1">
        <f t="shared" ref="O428:O432" si="46">IF(ABS(L428-N428)&lt;1, J428, M428-L428*30.5)</f>
        <v>44106</v>
      </c>
      <c r="P428">
        <v>6</v>
      </c>
      <c r="Q428" s="3">
        <v>7</v>
      </c>
      <c r="R428" s="3">
        <v>7.8</v>
      </c>
      <c r="S428" t="s">
        <v>919</v>
      </c>
      <c r="T428" t="str">
        <f t="shared" ref="T428:T432" si="47">S427</f>
        <v>396/20/G</v>
      </c>
      <c r="U428">
        <v>14</v>
      </c>
      <c r="V428">
        <v>7</v>
      </c>
    </row>
    <row r="429" spans="1:22" x14ac:dyDescent="0.25">
      <c r="A429" t="s">
        <v>467</v>
      </c>
      <c r="B429" t="s">
        <v>468</v>
      </c>
      <c r="C429">
        <v>1250</v>
      </c>
      <c r="D429" t="s">
        <v>461</v>
      </c>
      <c r="E429">
        <v>2.25</v>
      </c>
      <c r="F429">
        <v>3150</v>
      </c>
      <c r="G429" t="s">
        <v>472</v>
      </c>
      <c r="H429">
        <v>81</v>
      </c>
      <c r="I429" t="s">
        <v>42</v>
      </c>
      <c r="J429" s="1">
        <v>44357</v>
      </c>
      <c r="K429">
        <v>48</v>
      </c>
      <c r="L429">
        <v>29</v>
      </c>
      <c r="M429" s="1">
        <v>45236</v>
      </c>
      <c r="N429">
        <f t="shared" si="45"/>
        <v>28.819672131147541</v>
      </c>
      <c r="O429" s="1">
        <f t="shared" si="46"/>
        <v>44357</v>
      </c>
      <c r="P429">
        <v>6</v>
      </c>
      <c r="Q429" s="3">
        <v>7</v>
      </c>
      <c r="R429" s="3">
        <v>7.8</v>
      </c>
      <c r="S429" t="s">
        <v>920</v>
      </c>
      <c r="T429" t="str">
        <f t="shared" si="47"/>
        <v>235/21/G</v>
      </c>
      <c r="U429">
        <v>14</v>
      </c>
      <c r="V429">
        <v>7</v>
      </c>
    </row>
    <row r="430" spans="1:22" x14ac:dyDescent="0.25">
      <c r="A430" t="s">
        <v>467</v>
      </c>
      <c r="B430" t="s">
        <v>468</v>
      </c>
      <c r="C430">
        <v>1250</v>
      </c>
      <c r="D430" t="s">
        <v>461</v>
      </c>
      <c r="E430">
        <v>2.25</v>
      </c>
      <c r="F430">
        <v>3150</v>
      </c>
      <c r="G430" t="s">
        <v>473</v>
      </c>
      <c r="H430">
        <v>227</v>
      </c>
      <c r="I430" t="s">
        <v>42</v>
      </c>
      <c r="J430" s="1">
        <v>44872</v>
      </c>
      <c r="K430">
        <v>48</v>
      </c>
      <c r="L430">
        <v>39</v>
      </c>
      <c r="M430" s="1">
        <v>45236</v>
      </c>
      <c r="N430">
        <f t="shared" si="45"/>
        <v>11.934426229508198</v>
      </c>
      <c r="O430" s="1">
        <f t="shared" si="46"/>
        <v>44046.5</v>
      </c>
      <c r="P430">
        <v>6</v>
      </c>
      <c r="Q430" s="3">
        <v>7</v>
      </c>
      <c r="R430" s="3">
        <v>7.8</v>
      </c>
      <c r="S430" t="s">
        <v>921</v>
      </c>
      <c r="T430" t="str">
        <f t="shared" si="47"/>
        <v>284/23/G</v>
      </c>
      <c r="U430">
        <v>14</v>
      </c>
      <c r="V430">
        <v>7</v>
      </c>
    </row>
    <row r="431" spans="1:22" x14ac:dyDescent="0.25">
      <c r="A431" t="s">
        <v>467</v>
      </c>
      <c r="B431" t="s">
        <v>468</v>
      </c>
      <c r="C431">
        <v>1250</v>
      </c>
      <c r="D431" t="s">
        <v>461</v>
      </c>
      <c r="E431">
        <v>2.25</v>
      </c>
      <c r="F431">
        <v>3150</v>
      </c>
      <c r="G431" t="s">
        <v>474</v>
      </c>
      <c r="H431">
        <v>226</v>
      </c>
      <c r="I431" t="s">
        <v>42</v>
      </c>
      <c r="J431" s="1">
        <v>44106</v>
      </c>
      <c r="K431">
        <v>48</v>
      </c>
      <c r="L431">
        <v>37</v>
      </c>
      <c r="M431" s="1">
        <v>45236</v>
      </c>
      <c r="N431">
        <f t="shared" si="45"/>
        <v>37.049180327868854</v>
      </c>
      <c r="O431" s="1">
        <f t="shared" si="46"/>
        <v>44106</v>
      </c>
      <c r="P431">
        <v>6</v>
      </c>
      <c r="Q431" s="3">
        <v>7</v>
      </c>
      <c r="R431" s="3">
        <v>7.8</v>
      </c>
      <c r="S431" t="s">
        <v>922</v>
      </c>
      <c r="T431" t="str">
        <f t="shared" si="47"/>
        <v>383/22/G</v>
      </c>
      <c r="U431">
        <v>14</v>
      </c>
      <c r="V431">
        <v>7</v>
      </c>
    </row>
    <row r="432" spans="1:22" x14ac:dyDescent="0.25">
      <c r="A432" t="s">
        <v>467</v>
      </c>
      <c r="B432" t="s">
        <v>468</v>
      </c>
      <c r="C432">
        <v>1250</v>
      </c>
      <c r="D432" t="s">
        <v>461</v>
      </c>
      <c r="E432">
        <v>2.25</v>
      </c>
      <c r="F432">
        <v>3150</v>
      </c>
      <c r="G432" t="s">
        <v>475</v>
      </c>
      <c r="H432">
        <v>261</v>
      </c>
      <c r="I432" t="s">
        <v>42</v>
      </c>
      <c r="J432" s="1">
        <v>44106</v>
      </c>
      <c r="K432">
        <v>48</v>
      </c>
      <c r="L432">
        <v>37</v>
      </c>
      <c r="M432" s="1">
        <v>45236</v>
      </c>
      <c r="N432">
        <f t="shared" si="45"/>
        <v>37.049180327868854</v>
      </c>
      <c r="O432" s="1">
        <f t="shared" si="46"/>
        <v>44106</v>
      </c>
      <c r="P432">
        <v>6</v>
      </c>
      <c r="Q432" s="3">
        <v>7</v>
      </c>
      <c r="R432" s="3">
        <v>7.8</v>
      </c>
      <c r="S432" t="s">
        <v>923</v>
      </c>
      <c r="T432" t="str">
        <f t="shared" si="47"/>
        <v>398/20/G</v>
      </c>
      <c r="U432">
        <v>14</v>
      </c>
      <c r="V432">
        <v>7</v>
      </c>
    </row>
    <row r="433" spans="1:22" x14ac:dyDescent="0.25">
      <c r="A433" t="s">
        <v>477</v>
      </c>
      <c r="B433" t="s">
        <v>485</v>
      </c>
      <c r="C433">
        <v>5187</v>
      </c>
      <c r="D433" t="s">
        <v>462</v>
      </c>
      <c r="E433">
        <v>1.6</v>
      </c>
      <c r="F433">
        <v>1600</v>
      </c>
      <c r="G433">
        <v>78</v>
      </c>
      <c r="H433">
        <v>401</v>
      </c>
      <c r="I433" t="s">
        <v>11</v>
      </c>
      <c r="J433" s="1">
        <v>40544</v>
      </c>
      <c r="K433" t="s">
        <v>481</v>
      </c>
      <c r="L433" t="s">
        <v>481</v>
      </c>
      <c r="M433" t="s">
        <v>481</v>
      </c>
      <c r="N433" t="s">
        <v>481</v>
      </c>
      <c r="O433" s="1">
        <v>40544</v>
      </c>
      <c r="P433">
        <v>2.1</v>
      </c>
      <c r="Q433" s="3">
        <v>13</v>
      </c>
      <c r="R433" s="3">
        <v>5.6</v>
      </c>
      <c r="S433" t="s">
        <v>924</v>
      </c>
      <c r="T433">
        <f>S445</f>
        <v>2</v>
      </c>
      <c r="U433">
        <v>14</v>
      </c>
      <c r="V433">
        <v>7</v>
      </c>
    </row>
    <row r="434" spans="1:22" x14ac:dyDescent="0.25">
      <c r="A434" t="s">
        <v>477</v>
      </c>
      <c r="B434" t="s">
        <v>485</v>
      </c>
      <c r="C434">
        <v>5187</v>
      </c>
      <c r="D434" t="s">
        <v>462</v>
      </c>
      <c r="E434">
        <v>1.6</v>
      </c>
      <c r="F434">
        <v>1600</v>
      </c>
      <c r="G434">
        <v>71</v>
      </c>
      <c r="H434">
        <v>382</v>
      </c>
      <c r="I434" t="s">
        <v>11</v>
      </c>
      <c r="J434" s="1">
        <v>40544</v>
      </c>
      <c r="K434" t="s">
        <v>481</v>
      </c>
      <c r="L434" t="s">
        <v>481</v>
      </c>
      <c r="M434" t="s">
        <v>481</v>
      </c>
      <c r="N434" t="s">
        <v>481</v>
      </c>
      <c r="O434" s="1">
        <v>40544</v>
      </c>
      <c r="P434">
        <v>2.1</v>
      </c>
      <c r="Q434" s="3">
        <v>13</v>
      </c>
      <c r="R434" s="3">
        <v>5.6</v>
      </c>
      <c r="S434" t="s">
        <v>925</v>
      </c>
      <c r="T434" t="str">
        <f>S433</f>
        <v>XIII</v>
      </c>
      <c r="U434">
        <v>7</v>
      </c>
      <c r="V434">
        <v>5</v>
      </c>
    </row>
    <row r="435" spans="1:22" x14ac:dyDescent="0.25">
      <c r="A435" t="s">
        <v>477</v>
      </c>
      <c r="B435" t="s">
        <v>485</v>
      </c>
      <c r="C435">
        <v>5187</v>
      </c>
      <c r="D435" t="s">
        <v>462</v>
      </c>
      <c r="E435">
        <v>1.6</v>
      </c>
      <c r="F435">
        <v>1600</v>
      </c>
      <c r="G435">
        <v>77</v>
      </c>
      <c r="H435">
        <v>404</v>
      </c>
      <c r="I435" t="s">
        <v>11</v>
      </c>
      <c r="J435" s="1">
        <v>40544</v>
      </c>
      <c r="K435" t="s">
        <v>481</v>
      </c>
      <c r="L435" t="s">
        <v>481</v>
      </c>
      <c r="M435" t="s">
        <v>481</v>
      </c>
      <c r="N435" t="s">
        <v>481</v>
      </c>
      <c r="O435" s="1">
        <v>40544</v>
      </c>
      <c r="P435">
        <v>2.1</v>
      </c>
      <c r="Q435" s="3">
        <v>13</v>
      </c>
      <c r="R435" s="3">
        <v>5.6</v>
      </c>
      <c r="S435" t="s">
        <v>926</v>
      </c>
      <c r="T435" t="str">
        <f t="shared" ref="T435:T445" si="48">S434</f>
        <v>II</v>
      </c>
      <c r="U435">
        <v>7</v>
      </c>
      <c r="V435">
        <v>5</v>
      </c>
    </row>
    <row r="436" spans="1:22" x14ac:dyDescent="0.25">
      <c r="A436" t="s">
        <v>477</v>
      </c>
      <c r="B436" t="s">
        <v>485</v>
      </c>
      <c r="C436">
        <v>5187</v>
      </c>
      <c r="D436" t="s">
        <v>462</v>
      </c>
      <c r="E436">
        <v>1.6</v>
      </c>
      <c r="F436">
        <v>1600</v>
      </c>
      <c r="G436">
        <v>68</v>
      </c>
      <c r="H436">
        <v>402</v>
      </c>
      <c r="I436" t="s">
        <v>11</v>
      </c>
      <c r="J436" s="1">
        <v>40544</v>
      </c>
      <c r="K436" t="s">
        <v>481</v>
      </c>
      <c r="L436" t="s">
        <v>481</v>
      </c>
      <c r="M436" t="s">
        <v>481</v>
      </c>
      <c r="N436" t="s">
        <v>481</v>
      </c>
      <c r="O436" s="1">
        <v>40544</v>
      </c>
      <c r="P436">
        <v>2.1</v>
      </c>
      <c r="Q436" s="3">
        <v>13</v>
      </c>
      <c r="R436" s="3">
        <v>5.6</v>
      </c>
      <c r="S436" t="s">
        <v>927</v>
      </c>
      <c r="T436" t="str">
        <f t="shared" si="48"/>
        <v>IV</v>
      </c>
      <c r="U436">
        <v>7</v>
      </c>
      <c r="V436">
        <v>5</v>
      </c>
    </row>
    <row r="437" spans="1:22" x14ac:dyDescent="0.25">
      <c r="A437" t="s">
        <v>477</v>
      </c>
      <c r="B437" t="s">
        <v>485</v>
      </c>
      <c r="C437">
        <v>5187</v>
      </c>
      <c r="D437" t="s">
        <v>462</v>
      </c>
      <c r="E437">
        <v>1.6</v>
      </c>
      <c r="F437">
        <v>1600</v>
      </c>
      <c r="G437">
        <v>80</v>
      </c>
      <c r="H437">
        <v>397</v>
      </c>
      <c r="I437" t="s">
        <v>11</v>
      </c>
      <c r="J437" s="1">
        <v>40544</v>
      </c>
      <c r="K437" t="s">
        <v>481</v>
      </c>
      <c r="L437" t="s">
        <v>481</v>
      </c>
      <c r="M437" t="s">
        <v>481</v>
      </c>
      <c r="N437" t="s">
        <v>481</v>
      </c>
      <c r="O437" s="1">
        <v>40544</v>
      </c>
      <c r="P437">
        <v>2.1</v>
      </c>
      <c r="Q437" s="3">
        <v>13</v>
      </c>
      <c r="R437" s="3">
        <v>5.6</v>
      </c>
      <c r="S437" t="s">
        <v>928</v>
      </c>
      <c r="T437" t="str">
        <f t="shared" si="48"/>
        <v>VI</v>
      </c>
      <c r="U437">
        <v>7</v>
      </c>
      <c r="V437">
        <v>5</v>
      </c>
    </row>
    <row r="438" spans="1:22" x14ac:dyDescent="0.25">
      <c r="A438" t="s">
        <v>477</v>
      </c>
      <c r="B438" t="s">
        <v>485</v>
      </c>
      <c r="C438">
        <v>5187</v>
      </c>
      <c r="D438" t="s">
        <v>462</v>
      </c>
      <c r="E438">
        <v>1.6</v>
      </c>
      <c r="F438">
        <v>1600</v>
      </c>
      <c r="G438">
        <v>79</v>
      </c>
      <c r="H438">
        <v>404</v>
      </c>
      <c r="I438" t="s">
        <v>11</v>
      </c>
      <c r="J438" s="1">
        <v>40544</v>
      </c>
      <c r="K438" t="s">
        <v>481</v>
      </c>
      <c r="L438" t="s">
        <v>481</v>
      </c>
      <c r="M438" t="s">
        <v>481</v>
      </c>
      <c r="N438" t="s">
        <v>481</v>
      </c>
      <c r="O438" s="1">
        <v>40544</v>
      </c>
      <c r="P438">
        <v>2.1</v>
      </c>
      <c r="Q438" s="3">
        <v>13</v>
      </c>
      <c r="R438" s="3">
        <v>5.6</v>
      </c>
      <c r="S438" t="s">
        <v>924</v>
      </c>
      <c r="T438" t="str">
        <f t="shared" si="48"/>
        <v>VIII</v>
      </c>
      <c r="U438">
        <v>7</v>
      </c>
      <c r="V438">
        <v>5</v>
      </c>
    </row>
    <row r="439" spans="1:22" x14ac:dyDescent="0.25">
      <c r="A439" t="s">
        <v>477</v>
      </c>
      <c r="B439" t="s">
        <v>485</v>
      </c>
      <c r="C439">
        <v>5187</v>
      </c>
      <c r="D439" t="s">
        <v>462</v>
      </c>
      <c r="E439">
        <v>1.6</v>
      </c>
      <c r="F439">
        <v>1600</v>
      </c>
      <c r="G439">
        <v>74</v>
      </c>
      <c r="H439">
        <v>402</v>
      </c>
      <c r="I439" t="s">
        <v>11</v>
      </c>
      <c r="J439" s="1">
        <v>40544</v>
      </c>
      <c r="K439" t="s">
        <v>481</v>
      </c>
      <c r="L439" t="s">
        <v>481</v>
      </c>
      <c r="M439" t="s">
        <v>481</v>
      </c>
      <c r="N439" t="s">
        <v>481</v>
      </c>
      <c r="O439" s="1">
        <v>40544</v>
      </c>
      <c r="P439">
        <v>2.1</v>
      </c>
      <c r="Q439" s="3">
        <v>13</v>
      </c>
      <c r="R439" s="3">
        <v>5.6</v>
      </c>
      <c r="S439" t="s">
        <v>929</v>
      </c>
      <c r="T439" t="str">
        <f t="shared" si="48"/>
        <v>XIII</v>
      </c>
      <c r="U439">
        <v>7</v>
      </c>
      <c r="V439">
        <v>5</v>
      </c>
    </row>
    <row r="440" spans="1:22" x14ac:dyDescent="0.25">
      <c r="A440" t="s">
        <v>477</v>
      </c>
      <c r="B440" t="s">
        <v>485</v>
      </c>
      <c r="C440">
        <v>5187</v>
      </c>
      <c r="D440" t="s">
        <v>462</v>
      </c>
      <c r="E440">
        <v>1.6</v>
      </c>
      <c r="F440">
        <v>1600</v>
      </c>
      <c r="G440">
        <v>81</v>
      </c>
      <c r="H440">
        <v>402</v>
      </c>
      <c r="I440" t="s">
        <v>11</v>
      </c>
      <c r="J440" s="1">
        <v>40544</v>
      </c>
      <c r="K440" t="s">
        <v>481</v>
      </c>
      <c r="L440" t="s">
        <v>481</v>
      </c>
      <c r="M440" t="s">
        <v>481</v>
      </c>
      <c r="N440" t="s">
        <v>481</v>
      </c>
      <c r="O440" s="1">
        <v>40544</v>
      </c>
      <c r="P440">
        <v>2.1</v>
      </c>
      <c r="Q440" s="3">
        <v>13</v>
      </c>
      <c r="R440" s="3">
        <v>5.6</v>
      </c>
      <c r="S440" t="s">
        <v>930</v>
      </c>
      <c r="T440" t="str">
        <f t="shared" si="48"/>
        <v>XII</v>
      </c>
      <c r="U440">
        <v>7</v>
      </c>
      <c r="V440">
        <v>5</v>
      </c>
    </row>
    <row r="441" spans="1:22" x14ac:dyDescent="0.25">
      <c r="A441" t="s">
        <v>477</v>
      </c>
      <c r="B441" t="s">
        <v>485</v>
      </c>
      <c r="C441">
        <v>5187</v>
      </c>
      <c r="D441" t="s">
        <v>462</v>
      </c>
      <c r="E441">
        <v>1.6</v>
      </c>
      <c r="F441">
        <v>1600</v>
      </c>
      <c r="G441">
        <v>72</v>
      </c>
      <c r="H441">
        <v>377</v>
      </c>
      <c r="I441" t="s">
        <v>11</v>
      </c>
      <c r="J441" s="1">
        <v>40544</v>
      </c>
      <c r="K441" t="s">
        <v>481</v>
      </c>
      <c r="L441" t="s">
        <v>481</v>
      </c>
      <c r="M441" t="s">
        <v>481</v>
      </c>
      <c r="N441" t="s">
        <v>481</v>
      </c>
      <c r="O441" s="1">
        <v>40544</v>
      </c>
      <c r="P441">
        <v>2.1</v>
      </c>
      <c r="Q441" s="3">
        <v>13</v>
      </c>
      <c r="R441" s="3">
        <v>5.6</v>
      </c>
      <c r="S441">
        <v>6</v>
      </c>
      <c r="T441" t="str">
        <f t="shared" si="48"/>
        <v>XI</v>
      </c>
      <c r="U441">
        <v>7</v>
      </c>
      <c r="V441">
        <v>5</v>
      </c>
    </row>
    <row r="442" spans="1:22" x14ac:dyDescent="0.25">
      <c r="A442" t="s">
        <v>477</v>
      </c>
      <c r="B442" t="s">
        <v>485</v>
      </c>
      <c r="C442">
        <v>5187</v>
      </c>
      <c r="D442" t="s">
        <v>462</v>
      </c>
      <c r="E442">
        <v>1.6</v>
      </c>
      <c r="F442">
        <v>1600</v>
      </c>
      <c r="G442">
        <v>73</v>
      </c>
      <c r="H442">
        <v>406</v>
      </c>
      <c r="I442" t="s">
        <v>11</v>
      </c>
      <c r="J442" s="1">
        <v>40544</v>
      </c>
      <c r="K442" t="s">
        <v>481</v>
      </c>
      <c r="L442" t="s">
        <v>481</v>
      </c>
      <c r="M442" t="s">
        <v>481</v>
      </c>
      <c r="N442" t="s">
        <v>481</v>
      </c>
      <c r="O442" s="1">
        <v>40544</v>
      </c>
      <c r="P442">
        <v>2.1</v>
      </c>
      <c r="Q442" s="3">
        <v>13</v>
      </c>
      <c r="R442" s="3">
        <v>5.6</v>
      </c>
      <c r="S442">
        <v>5</v>
      </c>
      <c r="T442">
        <f t="shared" si="48"/>
        <v>6</v>
      </c>
      <c r="U442">
        <v>7</v>
      </c>
      <c r="V442">
        <v>5</v>
      </c>
    </row>
    <row r="443" spans="1:22" x14ac:dyDescent="0.25">
      <c r="A443" t="s">
        <v>477</v>
      </c>
      <c r="B443" t="s">
        <v>485</v>
      </c>
      <c r="C443">
        <v>5187</v>
      </c>
      <c r="D443" t="s">
        <v>462</v>
      </c>
      <c r="E443">
        <v>1.6</v>
      </c>
      <c r="F443">
        <v>1600</v>
      </c>
      <c r="G443">
        <v>70</v>
      </c>
      <c r="H443">
        <v>405</v>
      </c>
      <c r="I443" t="s">
        <v>11</v>
      </c>
      <c r="J443" s="1">
        <v>40544</v>
      </c>
      <c r="K443" t="s">
        <v>481</v>
      </c>
      <c r="L443" t="s">
        <v>481</v>
      </c>
      <c r="M443" t="s">
        <v>481</v>
      </c>
      <c r="N443" t="s">
        <v>481</v>
      </c>
      <c r="O443" s="1">
        <v>40544</v>
      </c>
      <c r="P443">
        <v>2.1</v>
      </c>
      <c r="Q443" s="3">
        <v>13</v>
      </c>
      <c r="R443" s="3">
        <v>5.6</v>
      </c>
      <c r="S443">
        <v>4</v>
      </c>
      <c r="T443">
        <f t="shared" si="48"/>
        <v>5</v>
      </c>
      <c r="U443">
        <v>7</v>
      </c>
      <c r="V443">
        <v>5</v>
      </c>
    </row>
    <row r="444" spans="1:22" x14ac:dyDescent="0.25">
      <c r="A444" t="s">
        <v>477</v>
      </c>
      <c r="B444" t="s">
        <v>485</v>
      </c>
      <c r="C444">
        <v>5187</v>
      </c>
      <c r="D444" t="s">
        <v>462</v>
      </c>
      <c r="E444">
        <v>1.6</v>
      </c>
      <c r="F444">
        <v>1600</v>
      </c>
      <c r="G444">
        <v>75</v>
      </c>
      <c r="H444">
        <v>403</v>
      </c>
      <c r="I444" t="s">
        <v>11</v>
      </c>
      <c r="J444" s="1">
        <v>40544</v>
      </c>
      <c r="K444" t="s">
        <v>481</v>
      </c>
      <c r="L444" t="s">
        <v>481</v>
      </c>
      <c r="M444" t="s">
        <v>481</v>
      </c>
      <c r="N444" t="s">
        <v>481</v>
      </c>
      <c r="O444" s="1">
        <v>40544</v>
      </c>
      <c r="P444">
        <v>2.1</v>
      </c>
      <c r="Q444" s="3">
        <v>13</v>
      </c>
      <c r="R444" s="3">
        <v>5.6</v>
      </c>
      <c r="S444">
        <v>3</v>
      </c>
      <c r="T444">
        <f t="shared" si="48"/>
        <v>4</v>
      </c>
      <c r="U444">
        <v>7</v>
      </c>
      <c r="V444">
        <v>5</v>
      </c>
    </row>
    <row r="445" spans="1:22" x14ac:dyDescent="0.25">
      <c r="A445" t="s">
        <v>477</v>
      </c>
      <c r="B445" t="s">
        <v>485</v>
      </c>
      <c r="C445">
        <v>5187</v>
      </c>
      <c r="D445" t="s">
        <v>462</v>
      </c>
      <c r="E445">
        <v>1.6</v>
      </c>
      <c r="F445">
        <v>1600</v>
      </c>
      <c r="G445">
        <v>76</v>
      </c>
      <c r="H445">
        <v>402</v>
      </c>
      <c r="I445" t="s">
        <v>11</v>
      </c>
      <c r="J445" s="1">
        <v>40544</v>
      </c>
      <c r="K445" t="s">
        <v>481</v>
      </c>
      <c r="L445" t="s">
        <v>481</v>
      </c>
      <c r="M445" t="s">
        <v>481</v>
      </c>
      <c r="N445" t="s">
        <v>481</v>
      </c>
      <c r="O445" s="1">
        <v>40544</v>
      </c>
      <c r="P445">
        <v>2.1</v>
      </c>
      <c r="Q445" s="3">
        <v>13</v>
      </c>
      <c r="R445" s="3">
        <v>5.6</v>
      </c>
      <c r="S445">
        <v>2</v>
      </c>
      <c r="T445">
        <f t="shared" si="48"/>
        <v>3</v>
      </c>
      <c r="U445">
        <v>7</v>
      </c>
      <c r="V445">
        <v>5</v>
      </c>
    </row>
    <row r="446" spans="1:22" x14ac:dyDescent="0.25">
      <c r="A446" t="s">
        <v>482</v>
      </c>
      <c r="B446" t="s">
        <v>483</v>
      </c>
      <c r="C446">
        <v>7162</v>
      </c>
      <c r="D446" t="s">
        <v>484</v>
      </c>
      <c r="E446">
        <v>1</v>
      </c>
      <c r="F446">
        <v>1000</v>
      </c>
      <c r="G446">
        <v>1</v>
      </c>
      <c r="H446">
        <v>113</v>
      </c>
      <c r="I446" t="s">
        <v>11</v>
      </c>
      <c r="J446" s="1">
        <v>43901</v>
      </c>
      <c r="K446" t="s">
        <v>481</v>
      </c>
      <c r="L446" t="s">
        <v>481</v>
      </c>
      <c r="M446" t="s">
        <v>481</v>
      </c>
      <c r="N446" t="s">
        <v>481</v>
      </c>
      <c r="O446" s="1">
        <v>43901</v>
      </c>
      <c r="P446">
        <v>3.67</v>
      </c>
      <c r="Q446" s="3">
        <v>20</v>
      </c>
      <c r="R446" s="3">
        <v>3</v>
      </c>
      <c r="S446" t="s">
        <v>925</v>
      </c>
      <c r="T446" t="str">
        <f>S465</f>
        <v>I</v>
      </c>
      <c r="U446">
        <v>8</v>
      </c>
      <c r="V446">
        <v>4</v>
      </c>
    </row>
    <row r="447" spans="1:22" x14ac:dyDescent="0.25">
      <c r="A447" t="s">
        <v>482</v>
      </c>
      <c r="B447" t="s">
        <v>483</v>
      </c>
      <c r="C447">
        <v>7162</v>
      </c>
      <c r="D447" t="s">
        <v>484</v>
      </c>
      <c r="E447">
        <v>1</v>
      </c>
      <c r="F447">
        <v>1000</v>
      </c>
      <c r="G447">
        <v>2</v>
      </c>
      <c r="H447">
        <v>96</v>
      </c>
      <c r="I447" t="s">
        <v>11</v>
      </c>
      <c r="J447" s="1">
        <v>43901</v>
      </c>
      <c r="K447" t="s">
        <v>481</v>
      </c>
      <c r="L447" t="s">
        <v>481</v>
      </c>
      <c r="M447" t="s">
        <v>481</v>
      </c>
      <c r="N447" t="s">
        <v>481</v>
      </c>
      <c r="O447" s="1">
        <v>43901</v>
      </c>
      <c r="P447">
        <v>3.67</v>
      </c>
      <c r="Q447" s="3">
        <v>20</v>
      </c>
      <c r="R447" s="3">
        <v>3</v>
      </c>
      <c r="S447" t="s">
        <v>931</v>
      </c>
      <c r="T447" t="str">
        <f>S446</f>
        <v>II</v>
      </c>
      <c r="U447">
        <v>8</v>
      </c>
      <c r="V447">
        <v>4</v>
      </c>
    </row>
    <row r="448" spans="1:22" x14ac:dyDescent="0.25">
      <c r="A448" t="s">
        <v>482</v>
      </c>
      <c r="B448" t="s">
        <v>483</v>
      </c>
      <c r="C448">
        <v>7162</v>
      </c>
      <c r="D448" t="s">
        <v>484</v>
      </c>
      <c r="E448">
        <v>1</v>
      </c>
      <c r="F448">
        <v>1000</v>
      </c>
      <c r="G448">
        <v>3</v>
      </c>
      <c r="H448">
        <v>242</v>
      </c>
      <c r="I448" t="s">
        <v>11</v>
      </c>
      <c r="J448" s="1">
        <v>43901</v>
      </c>
      <c r="K448" t="s">
        <v>481</v>
      </c>
      <c r="L448" t="s">
        <v>481</v>
      </c>
      <c r="M448" t="s">
        <v>481</v>
      </c>
      <c r="N448" t="s">
        <v>481</v>
      </c>
      <c r="O448" s="1">
        <v>43901</v>
      </c>
      <c r="P448">
        <v>3.67</v>
      </c>
      <c r="Q448" s="3">
        <v>20</v>
      </c>
      <c r="R448" s="3">
        <v>3</v>
      </c>
      <c r="S448" t="s">
        <v>926</v>
      </c>
      <c r="T448" t="str">
        <f t="shared" ref="T448:T465" si="49">S447</f>
        <v>III</v>
      </c>
      <c r="U448">
        <v>8</v>
      </c>
      <c r="V448">
        <v>4</v>
      </c>
    </row>
    <row r="449" spans="1:22" x14ac:dyDescent="0.25">
      <c r="A449" t="s">
        <v>482</v>
      </c>
      <c r="B449" t="s">
        <v>483</v>
      </c>
      <c r="C449">
        <v>7162</v>
      </c>
      <c r="D449" t="s">
        <v>484</v>
      </c>
      <c r="E449">
        <v>1</v>
      </c>
      <c r="F449">
        <v>1000</v>
      </c>
      <c r="G449">
        <v>4</v>
      </c>
      <c r="H449">
        <v>449</v>
      </c>
      <c r="I449" t="s">
        <v>11</v>
      </c>
      <c r="J449" s="1">
        <v>43901</v>
      </c>
      <c r="K449" t="s">
        <v>481</v>
      </c>
      <c r="L449" t="s">
        <v>481</v>
      </c>
      <c r="M449" t="s">
        <v>481</v>
      </c>
      <c r="N449" t="s">
        <v>481</v>
      </c>
      <c r="O449" s="1">
        <v>43901</v>
      </c>
      <c r="P449">
        <v>3.67</v>
      </c>
      <c r="Q449" s="3">
        <v>20</v>
      </c>
      <c r="R449" s="3">
        <v>3</v>
      </c>
      <c r="S449" t="s">
        <v>932</v>
      </c>
      <c r="T449" t="str">
        <f t="shared" si="49"/>
        <v>IV</v>
      </c>
      <c r="U449">
        <v>8</v>
      </c>
      <c r="V449">
        <v>4</v>
      </c>
    </row>
    <row r="450" spans="1:22" x14ac:dyDescent="0.25">
      <c r="A450" t="s">
        <v>482</v>
      </c>
      <c r="B450" t="s">
        <v>483</v>
      </c>
      <c r="C450">
        <v>7162</v>
      </c>
      <c r="D450" t="s">
        <v>484</v>
      </c>
      <c r="E450">
        <v>1</v>
      </c>
      <c r="F450">
        <v>1000</v>
      </c>
      <c r="G450">
        <v>5</v>
      </c>
      <c r="H450">
        <v>450</v>
      </c>
      <c r="I450" t="s">
        <v>11</v>
      </c>
      <c r="J450" s="1">
        <v>43901</v>
      </c>
      <c r="K450" t="s">
        <v>481</v>
      </c>
      <c r="L450" t="s">
        <v>481</v>
      </c>
      <c r="M450" t="s">
        <v>481</v>
      </c>
      <c r="N450" t="s">
        <v>481</v>
      </c>
      <c r="O450" s="1">
        <v>43901</v>
      </c>
      <c r="P450">
        <v>3.67</v>
      </c>
      <c r="Q450" s="3">
        <v>20</v>
      </c>
      <c r="R450" s="3">
        <v>3</v>
      </c>
      <c r="S450" t="s">
        <v>927</v>
      </c>
      <c r="T450" t="str">
        <f t="shared" si="49"/>
        <v>V</v>
      </c>
      <c r="U450">
        <v>8</v>
      </c>
      <c r="V450">
        <v>4</v>
      </c>
    </row>
    <row r="451" spans="1:22" x14ac:dyDescent="0.25">
      <c r="A451" t="s">
        <v>482</v>
      </c>
      <c r="B451" t="s">
        <v>483</v>
      </c>
      <c r="C451">
        <v>7162</v>
      </c>
      <c r="D451" t="s">
        <v>484</v>
      </c>
      <c r="E451">
        <v>1</v>
      </c>
      <c r="F451">
        <v>1000</v>
      </c>
      <c r="G451">
        <v>6</v>
      </c>
      <c r="H451">
        <v>392</v>
      </c>
      <c r="I451" t="s">
        <v>11</v>
      </c>
      <c r="J451" s="1">
        <v>43901</v>
      </c>
      <c r="K451" t="s">
        <v>481</v>
      </c>
      <c r="L451" t="s">
        <v>481</v>
      </c>
      <c r="M451" t="s">
        <v>481</v>
      </c>
      <c r="N451" t="s">
        <v>481</v>
      </c>
      <c r="O451" s="1">
        <v>43901</v>
      </c>
      <c r="P451">
        <v>3.67</v>
      </c>
      <c r="Q451" s="3">
        <v>20</v>
      </c>
      <c r="R451" s="3">
        <v>3</v>
      </c>
      <c r="S451" t="s">
        <v>933</v>
      </c>
      <c r="T451" t="str">
        <f t="shared" si="49"/>
        <v>VI</v>
      </c>
      <c r="U451">
        <v>8</v>
      </c>
      <c r="V451">
        <v>4</v>
      </c>
    </row>
    <row r="452" spans="1:22" x14ac:dyDescent="0.25">
      <c r="A452" t="s">
        <v>482</v>
      </c>
      <c r="B452" t="s">
        <v>483</v>
      </c>
      <c r="C452">
        <v>7162</v>
      </c>
      <c r="D452" t="s">
        <v>484</v>
      </c>
      <c r="E452">
        <v>1</v>
      </c>
      <c r="F452">
        <v>1000</v>
      </c>
      <c r="G452">
        <v>7</v>
      </c>
      <c r="H452">
        <v>59</v>
      </c>
      <c r="I452" t="s">
        <v>11</v>
      </c>
      <c r="J452" s="1">
        <v>43901</v>
      </c>
      <c r="K452" t="s">
        <v>481</v>
      </c>
      <c r="L452" t="s">
        <v>481</v>
      </c>
      <c r="M452" t="s">
        <v>481</v>
      </c>
      <c r="N452" t="s">
        <v>481</v>
      </c>
      <c r="O452" s="1">
        <v>43901</v>
      </c>
      <c r="P452">
        <v>3.67</v>
      </c>
      <c r="Q452" s="3">
        <v>20</v>
      </c>
      <c r="R452" s="3">
        <v>3</v>
      </c>
      <c r="S452" t="s">
        <v>928</v>
      </c>
      <c r="T452" t="str">
        <f t="shared" si="49"/>
        <v>VII</v>
      </c>
      <c r="U452">
        <v>8</v>
      </c>
      <c r="V452">
        <v>4</v>
      </c>
    </row>
    <row r="453" spans="1:22" x14ac:dyDescent="0.25">
      <c r="A453" t="s">
        <v>482</v>
      </c>
      <c r="B453" t="s">
        <v>483</v>
      </c>
      <c r="C453">
        <v>7162</v>
      </c>
      <c r="D453" t="s">
        <v>484</v>
      </c>
      <c r="E453">
        <v>1</v>
      </c>
      <c r="F453">
        <v>1000</v>
      </c>
      <c r="G453">
        <v>8</v>
      </c>
      <c r="H453">
        <v>451</v>
      </c>
      <c r="I453" t="s">
        <v>11</v>
      </c>
      <c r="J453" s="1">
        <v>43901</v>
      </c>
      <c r="K453" t="s">
        <v>481</v>
      </c>
      <c r="L453" t="s">
        <v>481</v>
      </c>
      <c r="M453" t="s">
        <v>481</v>
      </c>
      <c r="N453" t="s">
        <v>481</v>
      </c>
      <c r="O453" s="1">
        <v>43901</v>
      </c>
      <c r="P453">
        <v>3.67</v>
      </c>
      <c r="Q453" s="3">
        <v>20</v>
      </c>
      <c r="R453" s="3">
        <v>3</v>
      </c>
      <c r="S453" t="s">
        <v>934</v>
      </c>
      <c r="T453" t="str">
        <f t="shared" si="49"/>
        <v>VIII</v>
      </c>
      <c r="U453">
        <v>8</v>
      </c>
      <c r="V453">
        <v>4</v>
      </c>
    </row>
    <row r="454" spans="1:22" x14ac:dyDescent="0.25">
      <c r="A454" t="s">
        <v>482</v>
      </c>
      <c r="B454" t="s">
        <v>483</v>
      </c>
      <c r="C454">
        <v>7162</v>
      </c>
      <c r="D454" t="s">
        <v>484</v>
      </c>
      <c r="E454">
        <v>1</v>
      </c>
      <c r="F454">
        <v>1000</v>
      </c>
      <c r="G454">
        <v>9</v>
      </c>
      <c r="H454">
        <v>451</v>
      </c>
      <c r="I454" t="s">
        <v>11</v>
      </c>
      <c r="J454" s="1">
        <v>43901</v>
      </c>
      <c r="K454" t="s">
        <v>481</v>
      </c>
      <c r="L454" t="s">
        <v>481</v>
      </c>
      <c r="M454" t="s">
        <v>481</v>
      </c>
      <c r="N454" t="s">
        <v>481</v>
      </c>
      <c r="O454" s="1">
        <v>43901</v>
      </c>
      <c r="P454">
        <v>3.67</v>
      </c>
      <c r="Q454" s="3">
        <v>20</v>
      </c>
      <c r="R454" s="3">
        <v>3</v>
      </c>
      <c r="S454" t="s">
        <v>645</v>
      </c>
      <c r="T454" t="str">
        <f t="shared" si="49"/>
        <v>IX</v>
      </c>
      <c r="U454">
        <v>8</v>
      </c>
      <c r="V454">
        <v>4</v>
      </c>
    </row>
    <row r="455" spans="1:22" x14ac:dyDescent="0.25">
      <c r="A455" t="s">
        <v>482</v>
      </c>
      <c r="B455" t="s">
        <v>483</v>
      </c>
      <c r="C455">
        <v>7162</v>
      </c>
      <c r="D455" t="s">
        <v>484</v>
      </c>
      <c r="E455">
        <v>1</v>
      </c>
      <c r="F455">
        <v>1000</v>
      </c>
      <c r="G455">
        <v>10</v>
      </c>
      <c r="H455">
        <v>451</v>
      </c>
      <c r="I455" t="s">
        <v>11</v>
      </c>
      <c r="J455" s="1">
        <v>43901</v>
      </c>
      <c r="K455" t="s">
        <v>481</v>
      </c>
      <c r="L455" t="s">
        <v>481</v>
      </c>
      <c r="M455" t="s">
        <v>481</v>
      </c>
      <c r="N455" t="s">
        <v>481</v>
      </c>
      <c r="O455" s="1">
        <v>43901</v>
      </c>
      <c r="P455">
        <v>3.67</v>
      </c>
      <c r="Q455" s="3">
        <v>20</v>
      </c>
      <c r="R455" s="3">
        <v>3</v>
      </c>
      <c r="S455" t="s">
        <v>930</v>
      </c>
      <c r="T455" t="str">
        <f t="shared" si="49"/>
        <v>X</v>
      </c>
      <c r="U455">
        <v>8</v>
      </c>
      <c r="V455">
        <v>4</v>
      </c>
    </row>
    <row r="456" spans="1:22" x14ac:dyDescent="0.25">
      <c r="A456" t="s">
        <v>482</v>
      </c>
      <c r="B456" t="s">
        <v>483</v>
      </c>
      <c r="C456">
        <v>7162</v>
      </c>
      <c r="D456" t="s">
        <v>484</v>
      </c>
      <c r="E456">
        <v>1</v>
      </c>
      <c r="F456">
        <v>1000</v>
      </c>
      <c r="G456">
        <v>11</v>
      </c>
      <c r="H456">
        <v>451</v>
      </c>
      <c r="I456" t="s">
        <v>11</v>
      </c>
      <c r="J456" s="1">
        <v>43901</v>
      </c>
      <c r="K456" t="s">
        <v>481</v>
      </c>
      <c r="L456" t="s">
        <v>481</v>
      </c>
      <c r="M456" t="s">
        <v>481</v>
      </c>
      <c r="N456" t="s">
        <v>481</v>
      </c>
      <c r="O456" s="1">
        <v>43901</v>
      </c>
      <c r="P456">
        <v>3.67</v>
      </c>
      <c r="Q456" s="3">
        <v>20</v>
      </c>
      <c r="R456" s="3">
        <v>3</v>
      </c>
      <c r="S456" t="s">
        <v>929</v>
      </c>
      <c r="T456" t="str">
        <f t="shared" si="49"/>
        <v>XI</v>
      </c>
      <c r="U456">
        <v>8</v>
      </c>
      <c r="V456">
        <v>4</v>
      </c>
    </row>
    <row r="457" spans="1:22" x14ac:dyDescent="0.25">
      <c r="A457" t="s">
        <v>482</v>
      </c>
      <c r="B457" t="s">
        <v>483</v>
      </c>
      <c r="C457">
        <v>7162</v>
      </c>
      <c r="D457" t="s">
        <v>484</v>
      </c>
      <c r="E457">
        <v>1</v>
      </c>
      <c r="F457">
        <v>1000</v>
      </c>
      <c r="G457">
        <v>12</v>
      </c>
      <c r="H457">
        <v>451</v>
      </c>
      <c r="I457" t="s">
        <v>11</v>
      </c>
      <c r="J457" s="1">
        <v>43901</v>
      </c>
      <c r="K457" t="s">
        <v>481</v>
      </c>
      <c r="L457" t="s">
        <v>481</v>
      </c>
      <c r="M457" t="s">
        <v>481</v>
      </c>
      <c r="N457" t="s">
        <v>481</v>
      </c>
      <c r="O457" s="1">
        <v>43901</v>
      </c>
      <c r="P457">
        <v>3.67</v>
      </c>
      <c r="Q457" s="3">
        <v>20</v>
      </c>
      <c r="R457" s="3">
        <v>3</v>
      </c>
      <c r="S457" t="s">
        <v>924</v>
      </c>
      <c r="T457" t="str">
        <f t="shared" si="49"/>
        <v>XII</v>
      </c>
      <c r="U457">
        <v>8</v>
      </c>
      <c r="V457">
        <v>4</v>
      </c>
    </row>
    <row r="458" spans="1:22" x14ac:dyDescent="0.25">
      <c r="A458" t="s">
        <v>482</v>
      </c>
      <c r="B458" t="s">
        <v>483</v>
      </c>
      <c r="C458">
        <v>7162</v>
      </c>
      <c r="D458" t="s">
        <v>484</v>
      </c>
      <c r="E458">
        <v>1</v>
      </c>
      <c r="F458">
        <v>1000</v>
      </c>
      <c r="G458">
        <v>13</v>
      </c>
      <c r="H458">
        <v>164</v>
      </c>
      <c r="I458" t="s">
        <v>11</v>
      </c>
      <c r="J458" s="1">
        <v>43901</v>
      </c>
      <c r="K458" t="s">
        <v>481</v>
      </c>
      <c r="L458" t="s">
        <v>481</v>
      </c>
      <c r="M458" t="s">
        <v>481</v>
      </c>
      <c r="N458" t="s">
        <v>481</v>
      </c>
      <c r="O458" s="1">
        <v>43901</v>
      </c>
      <c r="P458">
        <v>3.67</v>
      </c>
      <c r="Q458" s="3">
        <v>20</v>
      </c>
      <c r="R458" s="3">
        <v>3</v>
      </c>
      <c r="S458" t="s">
        <v>935</v>
      </c>
      <c r="T458" t="str">
        <f t="shared" si="49"/>
        <v>XIII</v>
      </c>
      <c r="U458">
        <v>8</v>
      </c>
      <c r="V458">
        <v>4</v>
      </c>
    </row>
    <row r="459" spans="1:22" x14ac:dyDescent="0.25">
      <c r="A459" t="s">
        <v>482</v>
      </c>
      <c r="B459" t="s">
        <v>483</v>
      </c>
      <c r="C459">
        <v>7162</v>
      </c>
      <c r="D459" t="s">
        <v>484</v>
      </c>
      <c r="E459">
        <v>1</v>
      </c>
      <c r="F459">
        <v>1000</v>
      </c>
      <c r="G459">
        <v>14</v>
      </c>
      <c r="H459">
        <v>285</v>
      </c>
      <c r="I459" t="s">
        <v>11</v>
      </c>
      <c r="J459" s="1">
        <v>43901</v>
      </c>
      <c r="K459" t="s">
        <v>481</v>
      </c>
      <c r="L459" t="s">
        <v>481</v>
      </c>
      <c r="M459" t="s">
        <v>481</v>
      </c>
      <c r="N459" t="s">
        <v>481</v>
      </c>
      <c r="O459" s="1">
        <v>43901</v>
      </c>
      <c r="P459">
        <v>3.67</v>
      </c>
      <c r="Q459" s="3">
        <v>20</v>
      </c>
      <c r="R459" s="3">
        <v>3</v>
      </c>
      <c r="S459" t="s">
        <v>936</v>
      </c>
      <c r="T459" t="str">
        <f t="shared" si="49"/>
        <v>XIV</v>
      </c>
      <c r="U459">
        <v>8</v>
      </c>
      <c r="V459">
        <v>4</v>
      </c>
    </row>
    <row r="460" spans="1:22" x14ac:dyDescent="0.25">
      <c r="A460" t="s">
        <v>482</v>
      </c>
      <c r="B460" t="s">
        <v>483</v>
      </c>
      <c r="C460">
        <v>7162</v>
      </c>
      <c r="D460" t="s">
        <v>484</v>
      </c>
      <c r="E460">
        <v>1</v>
      </c>
      <c r="F460">
        <v>1000</v>
      </c>
      <c r="G460">
        <v>15</v>
      </c>
      <c r="H460">
        <v>450</v>
      </c>
      <c r="I460" t="s">
        <v>11</v>
      </c>
      <c r="J460" s="1">
        <v>43901</v>
      </c>
      <c r="K460" t="s">
        <v>481</v>
      </c>
      <c r="L460" t="s">
        <v>481</v>
      </c>
      <c r="M460" t="s">
        <v>481</v>
      </c>
      <c r="N460" t="s">
        <v>481</v>
      </c>
      <c r="O460" s="1">
        <v>43901</v>
      </c>
      <c r="P460">
        <v>3.67</v>
      </c>
      <c r="Q460" s="3">
        <v>20</v>
      </c>
      <c r="R460" s="3">
        <v>3</v>
      </c>
      <c r="S460" t="s">
        <v>937</v>
      </c>
      <c r="T460" t="str">
        <f t="shared" si="49"/>
        <v>XV</v>
      </c>
      <c r="U460">
        <v>8</v>
      </c>
      <c r="V460">
        <v>4</v>
      </c>
    </row>
    <row r="461" spans="1:22" x14ac:dyDescent="0.25">
      <c r="A461" t="s">
        <v>482</v>
      </c>
      <c r="B461" t="s">
        <v>483</v>
      </c>
      <c r="C461">
        <v>7162</v>
      </c>
      <c r="D461" t="s">
        <v>484</v>
      </c>
      <c r="E461">
        <v>1</v>
      </c>
      <c r="F461">
        <v>1000</v>
      </c>
      <c r="G461">
        <v>16</v>
      </c>
      <c r="H461">
        <v>439</v>
      </c>
      <c r="I461" t="s">
        <v>11</v>
      </c>
      <c r="J461" s="1">
        <v>43901</v>
      </c>
      <c r="K461" t="s">
        <v>481</v>
      </c>
      <c r="L461" t="s">
        <v>481</v>
      </c>
      <c r="M461" t="s">
        <v>481</v>
      </c>
      <c r="N461" t="s">
        <v>481</v>
      </c>
      <c r="O461" s="1">
        <v>43901</v>
      </c>
      <c r="P461">
        <v>3.67</v>
      </c>
      <c r="Q461" s="3">
        <v>20</v>
      </c>
      <c r="R461" s="3">
        <v>3</v>
      </c>
      <c r="S461" t="s">
        <v>938</v>
      </c>
      <c r="T461" t="str">
        <f t="shared" si="49"/>
        <v>XVI</v>
      </c>
      <c r="U461">
        <v>8</v>
      </c>
      <c r="V461">
        <v>4</v>
      </c>
    </row>
    <row r="462" spans="1:22" x14ac:dyDescent="0.25">
      <c r="A462" t="s">
        <v>482</v>
      </c>
      <c r="B462" t="s">
        <v>483</v>
      </c>
      <c r="C462">
        <v>7162</v>
      </c>
      <c r="D462" t="s">
        <v>484</v>
      </c>
      <c r="E462">
        <v>1</v>
      </c>
      <c r="F462">
        <v>1000</v>
      </c>
      <c r="G462">
        <v>17</v>
      </c>
      <c r="H462">
        <v>414</v>
      </c>
      <c r="I462" t="s">
        <v>11</v>
      </c>
      <c r="J462" s="1">
        <v>43901</v>
      </c>
      <c r="K462" t="s">
        <v>481</v>
      </c>
      <c r="L462" t="s">
        <v>481</v>
      </c>
      <c r="M462" t="s">
        <v>481</v>
      </c>
      <c r="N462" t="s">
        <v>481</v>
      </c>
      <c r="O462" s="1">
        <v>43901</v>
      </c>
      <c r="P462">
        <v>3.67</v>
      </c>
      <c r="Q462" s="3">
        <v>20</v>
      </c>
      <c r="R462" s="3">
        <v>3</v>
      </c>
      <c r="S462" t="s">
        <v>939</v>
      </c>
      <c r="T462" t="str">
        <f t="shared" si="49"/>
        <v>XVII</v>
      </c>
      <c r="U462">
        <v>8</v>
      </c>
      <c r="V462">
        <v>4</v>
      </c>
    </row>
    <row r="463" spans="1:22" x14ac:dyDescent="0.25">
      <c r="A463" t="s">
        <v>482</v>
      </c>
      <c r="B463" t="s">
        <v>483</v>
      </c>
      <c r="C463">
        <v>7162</v>
      </c>
      <c r="D463" t="s">
        <v>484</v>
      </c>
      <c r="E463">
        <v>1</v>
      </c>
      <c r="F463">
        <v>1000</v>
      </c>
      <c r="G463">
        <v>18</v>
      </c>
      <c r="H463">
        <v>452</v>
      </c>
      <c r="I463" t="s">
        <v>11</v>
      </c>
      <c r="J463" s="1">
        <v>43901</v>
      </c>
      <c r="K463" t="s">
        <v>481</v>
      </c>
      <c r="L463" t="s">
        <v>481</v>
      </c>
      <c r="M463" t="s">
        <v>481</v>
      </c>
      <c r="N463" t="s">
        <v>481</v>
      </c>
      <c r="O463" s="1">
        <v>43901</v>
      </c>
      <c r="P463">
        <v>3.67</v>
      </c>
      <c r="Q463" s="3">
        <v>20</v>
      </c>
      <c r="R463" s="3">
        <v>3</v>
      </c>
      <c r="S463" t="s">
        <v>940</v>
      </c>
      <c r="T463" t="str">
        <f t="shared" si="49"/>
        <v>XVIII</v>
      </c>
      <c r="U463">
        <v>8</v>
      </c>
      <c r="V463">
        <v>4</v>
      </c>
    </row>
    <row r="464" spans="1:22" x14ac:dyDescent="0.25">
      <c r="A464" t="s">
        <v>482</v>
      </c>
      <c r="B464" t="s">
        <v>483</v>
      </c>
      <c r="C464">
        <v>7162</v>
      </c>
      <c r="D464" t="s">
        <v>484</v>
      </c>
      <c r="E464">
        <v>1</v>
      </c>
      <c r="F464">
        <v>1000</v>
      </c>
      <c r="G464">
        <v>19</v>
      </c>
      <c r="H464">
        <v>451</v>
      </c>
      <c r="I464" t="s">
        <v>11</v>
      </c>
      <c r="J464" s="1">
        <v>43901</v>
      </c>
      <c r="K464" t="s">
        <v>481</v>
      </c>
      <c r="L464" t="s">
        <v>481</v>
      </c>
      <c r="M464" t="s">
        <v>481</v>
      </c>
      <c r="N464" t="s">
        <v>481</v>
      </c>
      <c r="O464" s="1">
        <v>43901</v>
      </c>
      <c r="P464">
        <v>3.67</v>
      </c>
      <c r="Q464" s="3">
        <v>20</v>
      </c>
      <c r="R464" s="3">
        <v>3</v>
      </c>
      <c r="S464" t="s">
        <v>941</v>
      </c>
      <c r="T464" t="str">
        <f t="shared" si="49"/>
        <v>XIX</v>
      </c>
      <c r="U464">
        <v>8</v>
      </c>
      <c r="V464">
        <v>4</v>
      </c>
    </row>
    <row r="465" spans="1:22" x14ac:dyDescent="0.25">
      <c r="A465" t="s">
        <v>482</v>
      </c>
      <c r="B465" t="s">
        <v>483</v>
      </c>
      <c r="C465">
        <v>7162</v>
      </c>
      <c r="D465" t="s">
        <v>484</v>
      </c>
      <c r="E465">
        <v>1</v>
      </c>
      <c r="F465">
        <v>1000</v>
      </c>
      <c r="G465">
        <v>20</v>
      </c>
      <c r="H465">
        <v>451</v>
      </c>
      <c r="I465" t="s">
        <v>11</v>
      </c>
      <c r="J465" s="1">
        <v>43901</v>
      </c>
      <c r="K465" t="s">
        <v>481</v>
      </c>
      <c r="L465" t="s">
        <v>481</v>
      </c>
      <c r="M465" t="s">
        <v>481</v>
      </c>
      <c r="N465" t="s">
        <v>481</v>
      </c>
      <c r="O465" s="1">
        <v>43901</v>
      </c>
      <c r="P465">
        <v>3.67</v>
      </c>
      <c r="Q465" s="3">
        <v>20</v>
      </c>
      <c r="R465" s="3">
        <v>3</v>
      </c>
      <c r="S465" t="s">
        <v>942</v>
      </c>
      <c r="T465" t="str">
        <f t="shared" si="49"/>
        <v>XX</v>
      </c>
      <c r="U465">
        <v>8</v>
      </c>
      <c r="V465">
        <v>4</v>
      </c>
    </row>
  </sheetData>
  <autoFilter ref="B1:O465" xr:uid="{2743E8D3-DE82-428E-96FD-0AC67B5C9977}">
    <sortState xmlns:xlrd2="http://schemas.microsoft.com/office/spreadsheetml/2017/richdata2" ref="B2:O425">
      <sortCondition ref="B1:B158"/>
    </sortState>
  </autoFilter>
  <phoneticPr fontId="1" type="noConversion"/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</dc:creator>
  <cp:lastModifiedBy>Aleksandra Rzeszowska</cp:lastModifiedBy>
  <dcterms:created xsi:type="dcterms:W3CDTF">2023-05-09T13:13:40Z</dcterms:created>
  <dcterms:modified xsi:type="dcterms:W3CDTF">2025-11-24T10:55:07Z</dcterms:modified>
</cp:coreProperties>
</file>